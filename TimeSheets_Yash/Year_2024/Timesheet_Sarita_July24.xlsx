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imeSheets_Yash\"/>
    </mc:Choice>
  </mc:AlternateContent>
  <xr:revisionPtr revIDLastSave="0" documentId="13_ncr:1_{F954ED39-390E-4339-B924-39379273071D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Time Base" sheetId="2" r:id="rId1"/>
    <sheet name="Sheet1" sheetId="3" r:id="rId2"/>
  </sheets>
  <calcPr calcId="191029"/>
</workbook>
</file>

<file path=xl/calcChain.xml><?xml version="1.0" encoding="utf-8"?>
<calcChain xmlns="http://schemas.openxmlformats.org/spreadsheetml/2006/main">
  <c r="I20" i="3" l="1"/>
  <c r="J18" i="3"/>
  <c r="J19" i="3" l="1"/>
  <c r="R10" i="3"/>
  <c r="F40" i="2" l="1"/>
  <c r="F17" i="2" l="1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13" i="2" l="1"/>
  <c r="F12" i="2"/>
  <c r="F11" i="2"/>
  <c r="F14" i="2"/>
  <c r="F15" i="2"/>
  <c r="F16" i="2"/>
</calcChain>
</file>

<file path=xl/sharedStrings.xml><?xml version="1.0" encoding="utf-8"?>
<sst xmlns="http://schemas.openxmlformats.org/spreadsheetml/2006/main" count="79" uniqueCount="52">
  <si>
    <t>Time Sheet</t>
  </si>
  <si>
    <t>Contractor Name:</t>
  </si>
  <si>
    <t>Contractor ID</t>
  </si>
  <si>
    <t xml:space="preserve">Designation </t>
  </si>
  <si>
    <t>Contact No</t>
  </si>
  <si>
    <t>Current Project</t>
  </si>
  <si>
    <t>Current Location</t>
  </si>
  <si>
    <t>Date</t>
  </si>
  <si>
    <t>Day</t>
  </si>
  <si>
    <t>Contractor</t>
  </si>
  <si>
    <t>Approved By -</t>
  </si>
  <si>
    <t xml:space="preserve">In Time </t>
  </si>
  <si>
    <t>Out Time</t>
  </si>
  <si>
    <t>Net Working Hrs</t>
  </si>
  <si>
    <t>Remark</t>
  </si>
  <si>
    <t>Monday</t>
  </si>
  <si>
    <t>Name &amp; Sign</t>
  </si>
  <si>
    <t>Indore</t>
  </si>
  <si>
    <t>Tuesday</t>
  </si>
  <si>
    <t>Wednesday</t>
  </si>
  <si>
    <t>Thursday</t>
  </si>
  <si>
    <t>Friday</t>
  </si>
  <si>
    <t>Saturday</t>
  </si>
  <si>
    <t>Sunday</t>
  </si>
  <si>
    <t>TOTAL MAN HOURS</t>
  </si>
  <si>
    <t>Technical Trainer</t>
  </si>
  <si>
    <t>Sarita Lad</t>
  </si>
  <si>
    <t xml:space="preserve"> </t>
  </si>
  <si>
    <t>virtual ,joining formalities,</t>
  </si>
  <si>
    <t>Interaction with Tanay PratapSingh,Rahul Porwal,Sakshi,Sejal and Ishwari</t>
  </si>
  <si>
    <t>Session planned and syllabus structure formatted for 8 sessions on Fundamentals of  dotnet</t>
  </si>
  <si>
    <t>content development for training</t>
  </si>
  <si>
    <t>virtual meeting for Unit Testing with Prasanna,meeting with 2 groups project alloted</t>
  </si>
  <si>
    <t>Virtual:gp1 task authentication discussion , gp2 not connected</t>
  </si>
  <si>
    <t>Virtual:gp2 connected at 11:30 for authentication ,gp2 connect for authentication at 4:45,gp1 connect for discussion on Course module</t>
  </si>
  <si>
    <t xml:space="preserve">Virtual: gp1 team discussed about Course and Material Modules,gp2:discussed about User Module Authentictaion and exist user </t>
  </si>
  <si>
    <t xml:space="preserve">meeting </t>
  </si>
  <si>
    <t>Meeting joined for Unit Testing by Prasanna ,Discussion of Project with bench members</t>
  </si>
  <si>
    <t>gp1 Course and Material  module discussion,gp1 discussed courses Module</t>
  </si>
  <si>
    <t>virtual meeting with 2 groups project alloted</t>
  </si>
  <si>
    <t>virtual meeting with 2 groups project database schema verified</t>
  </si>
  <si>
    <t>Sick Leave</t>
  </si>
  <si>
    <t>gp1 Course and Material code discussed,gp2 Stored Procedure explained to Bhalachandra</t>
  </si>
  <si>
    <t>gp1 discussion for materialby courseId,gp2 discussion of storedprocedure in repository</t>
  </si>
  <si>
    <t>gp1,gp2 meeting for discussion on testing and student module.</t>
  </si>
  <si>
    <t>gp1 gp2 meeting for discussion on enrollment and feedbak api, review of freshers to be selected for new dotnet batch</t>
  </si>
  <si>
    <t>virtually joined gp1,gp2 meeting at11:45 on Unit testing, at 3pm meeting with Pankaj</t>
  </si>
  <si>
    <t>Meeting of all trainers about upgradation of training .gp1 Enquiry module discussion.Review of associates for dot net compentancy</t>
  </si>
  <si>
    <t>review of freshers ,and finalised list of associates for dotnet competancy , gp2 connected for password hashing code and discussed about unit testing. Gp2 discussed about entrollment and feedback module.</t>
  </si>
  <si>
    <t xml:space="preserve">Virtual:connected with bench for eduhub project gp 1 started Registration and Login,grp2 also strated Registration </t>
  </si>
  <si>
    <t>virtual , joined meeting virtually, content development and assignments created for C#  training</t>
  </si>
  <si>
    <t>Rahul Porwal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</si>
</sst>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[$-14009]hh:mm;@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2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4" fillId="0" borderId="1" xfId="0" applyFont="1" applyBorder="1"/>
    <xf numFmtId="0" fontId="2" fillId="2" borderId="1" xfId="0" applyFont="1" applyFill="1" applyBorder="1" applyAlignment="1">
      <alignment horizontal="center"/>
    </xf>
    <xf numFmtId="15" fontId="2" fillId="0" borderId="1" xfId="0" applyNumberFormat="1" applyFont="1" applyBorder="1"/>
    <xf numFmtId="15" fontId="6" fillId="0" borderId="1" xfId="0" applyNumberFormat="1" applyFont="1" applyBorder="1"/>
    <xf numFmtId="0" fontId="2" fillId="0" borderId="5" xfId="0" applyFont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/>
    <xf numFmtId="15" fontId="2" fillId="0" borderId="5" xfId="0" applyNumberFormat="1" applyFont="1" applyBorder="1" applyAlignment="1">
      <alignment horizontal="center"/>
    </xf>
    <xf numFmtId="20" fontId="1" fillId="0" borderId="1" xfId="0" applyNumberFormat="1" applyFont="1" applyFill="1" applyBorder="1"/>
    <xf numFmtId="15" fontId="2" fillId="0" borderId="1" xfId="0" applyNumberFormat="1" applyFont="1" applyFill="1" applyBorder="1"/>
    <xf numFmtId="164" fontId="0" fillId="0" borderId="0" xfId="0" applyNumberFormat="1"/>
    <xf numFmtId="20" fontId="1" fillId="0" borderId="0" xfId="0" applyNumberFormat="1" applyFont="1" applyFill="1" applyBorder="1"/>
    <xf numFmtId="164" fontId="1" fillId="0" borderId="6" xfId="0" applyNumberFormat="1" applyFont="1" applyFill="1" applyBorder="1"/>
    <xf numFmtId="15" fontId="6" fillId="0" borderId="1" xfId="0" applyNumberFormat="1" applyFont="1" applyFill="1" applyBorder="1"/>
    <xf numFmtId="18" fontId="1" fillId="0" borderId="1" xfId="0" applyNumberFormat="1" applyFont="1" applyFill="1" applyBorder="1"/>
    <xf numFmtId="0" fontId="3" fillId="0" borderId="6" xfId="0" applyFont="1" applyFill="1" applyBorder="1"/>
    <xf numFmtId="0" fontId="0" fillId="0" borderId="1" xfId="0" applyBorder="1"/>
    <xf numFmtId="18" fontId="1" fillId="0" borderId="1" xfId="0" applyNumberFormat="1" applyFont="1" applyFill="1" applyBorder="1" applyAlignment="1"/>
    <xf numFmtId="0" fontId="1" fillId="0" borderId="6" xfId="0" applyFont="1" applyBorder="1" applyAlignment="1">
      <alignment horizontal="center" wrapText="1"/>
    </xf>
    <xf numFmtId="0" fontId="1" fillId="0" borderId="6" xfId="0" applyFont="1" applyBorder="1"/>
    <xf numFmtId="0" fontId="1" fillId="0" borderId="1" xfId="0" applyFont="1" applyBorder="1" applyAlignment="1">
      <alignment wrapText="1"/>
    </xf>
    <xf numFmtId="164" fontId="1" fillId="0" borderId="6" xfId="0" applyNumberFormat="1" applyFont="1" applyFill="1" applyBorder="1" applyAlignment="1">
      <alignment wrapText="1"/>
    </xf>
    <xf numFmtId="165" fontId="0" fillId="0" borderId="1" xfId="0" applyNumberFormat="1" applyFont="1" applyBorder="1"/>
    <xf numFmtId="164" fontId="3" fillId="0" borderId="6" xfId="0" applyNumberFormat="1" applyFont="1" applyFill="1" applyBorder="1"/>
    <xf numFmtId="164" fontId="1" fillId="0" borderId="1" xfId="0" applyNumberFormat="1" applyFont="1" applyFill="1" applyBorder="1" applyAlignment="1">
      <alignment wrapText="1"/>
    </xf>
    <xf numFmtId="20" fontId="3" fillId="0" borderId="1" xfId="0" applyNumberFormat="1" applyFont="1" applyFill="1" applyBorder="1"/>
    <xf numFmtId="0" fontId="8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4"/>
  <sheetViews>
    <sheetView tabSelected="1" topLeftCell="A25" workbookViewId="0">
      <selection activeCell="E41" sqref="E41"/>
    </sheetView>
  </sheetViews>
  <sheetFormatPr defaultRowHeight="14.4" x14ac:dyDescent="0.3"/>
  <cols>
    <col min="2" max="2" width="13.109375" bestFit="1" customWidth="1"/>
    <col min="3" max="3" width="13.109375" customWidth="1"/>
    <col min="4" max="4" width="12.6640625" bestFit="1" customWidth="1"/>
    <col min="5" max="5" width="14.33203125" bestFit="1" customWidth="1"/>
    <col min="6" max="6" width="15.44140625" bestFit="1" customWidth="1"/>
    <col min="7" max="7" width="59.6640625" customWidth="1"/>
    <col min="10" max="10" width="11" bestFit="1" customWidth="1"/>
  </cols>
  <sheetData>
    <row r="1" spans="2:9" ht="15" thickBot="1" x14ac:dyDescent="0.35"/>
    <row r="2" spans="2:9" x14ac:dyDescent="0.3">
      <c r="B2" s="30" t="s">
        <v>0</v>
      </c>
      <c r="C2" s="31"/>
      <c r="D2" s="31"/>
      <c r="E2" s="31"/>
      <c r="F2" s="31"/>
      <c r="G2" s="32"/>
    </row>
    <row r="3" spans="2:9" x14ac:dyDescent="0.3">
      <c r="B3" s="7" t="s">
        <v>1</v>
      </c>
      <c r="C3" s="1"/>
      <c r="D3" s="33" t="s">
        <v>26</v>
      </c>
      <c r="E3" s="33"/>
      <c r="F3" s="33"/>
      <c r="G3" s="34"/>
    </row>
    <row r="4" spans="2:9" x14ac:dyDescent="0.3">
      <c r="B4" s="7" t="s">
        <v>2</v>
      </c>
      <c r="C4" s="1"/>
      <c r="D4" s="33">
        <v>1601949</v>
      </c>
      <c r="E4" s="33"/>
      <c r="F4" s="33"/>
      <c r="G4" s="34"/>
    </row>
    <row r="5" spans="2:9" x14ac:dyDescent="0.3">
      <c r="B5" s="7" t="s">
        <v>3</v>
      </c>
      <c r="C5" s="1"/>
      <c r="D5" s="33" t="s">
        <v>25</v>
      </c>
      <c r="E5" s="33"/>
      <c r="F5" s="33"/>
      <c r="G5" s="34"/>
    </row>
    <row r="6" spans="2:9" x14ac:dyDescent="0.3">
      <c r="B6" s="7" t="s">
        <v>4</v>
      </c>
      <c r="C6" s="1"/>
      <c r="D6" s="33">
        <v>9823405709</v>
      </c>
      <c r="E6" s="33"/>
      <c r="F6" s="33"/>
      <c r="G6" s="34"/>
    </row>
    <row r="7" spans="2:9" x14ac:dyDescent="0.3">
      <c r="B7" s="7" t="s">
        <v>5</v>
      </c>
      <c r="C7" s="1"/>
      <c r="D7" s="33"/>
      <c r="E7" s="33"/>
      <c r="F7" s="33"/>
      <c r="G7" s="34"/>
    </row>
    <row r="8" spans="2:9" x14ac:dyDescent="0.3">
      <c r="B8" s="7" t="s">
        <v>6</v>
      </c>
      <c r="C8" s="1"/>
      <c r="D8" s="33" t="s">
        <v>17</v>
      </c>
      <c r="E8" s="33"/>
      <c r="F8" s="33"/>
      <c r="G8" s="34"/>
    </row>
    <row r="9" spans="2:9" x14ac:dyDescent="0.3">
      <c r="B9" s="8" t="s">
        <v>7</v>
      </c>
      <c r="C9" s="4" t="s">
        <v>8</v>
      </c>
      <c r="D9" s="2" t="s">
        <v>11</v>
      </c>
      <c r="E9" s="2" t="s">
        <v>12</v>
      </c>
      <c r="F9" s="2" t="s">
        <v>13</v>
      </c>
      <c r="G9" s="9" t="s">
        <v>14</v>
      </c>
    </row>
    <row r="10" spans="2:9" x14ac:dyDescent="0.3">
      <c r="B10" s="10">
        <v>45474</v>
      </c>
      <c r="C10" s="5" t="s">
        <v>15</v>
      </c>
      <c r="D10" s="17"/>
      <c r="E10" s="17" t="s">
        <v>27</v>
      </c>
      <c r="F10" s="11" t="s">
        <v>27</v>
      </c>
      <c r="G10" s="18"/>
      <c r="I10" s="14"/>
    </row>
    <row r="11" spans="2:9" x14ac:dyDescent="0.3">
      <c r="B11" s="10">
        <v>45475</v>
      </c>
      <c r="C11" s="12" t="s">
        <v>18</v>
      </c>
      <c r="D11" s="17">
        <v>0.41666666666666669</v>
      </c>
      <c r="E11" s="17">
        <v>0.75</v>
      </c>
      <c r="F11" s="11" t="str">
        <f t="shared" ref="F11:F40" si="0">TEXT(E11-D11,"h:mm")</f>
        <v>8:00</v>
      </c>
      <c r="G11" s="15" t="s">
        <v>28</v>
      </c>
      <c r="I11" s="14"/>
    </row>
    <row r="12" spans="2:9" ht="21.6" x14ac:dyDescent="0.3">
      <c r="B12" s="10">
        <v>45476</v>
      </c>
      <c r="C12" s="5" t="s">
        <v>19</v>
      </c>
      <c r="D12" s="17">
        <v>0.41666666666666669</v>
      </c>
      <c r="E12" s="17">
        <v>0.77986111111111101</v>
      </c>
      <c r="F12" s="11" t="str">
        <f>TEXT(E12-D12,"h:mm")</f>
        <v>8:43</v>
      </c>
      <c r="G12" s="21" t="s">
        <v>29</v>
      </c>
    </row>
    <row r="13" spans="2:9" x14ac:dyDescent="0.3">
      <c r="B13" s="10">
        <v>45477</v>
      </c>
      <c r="C13" s="12" t="s">
        <v>20</v>
      </c>
      <c r="D13" s="17">
        <v>0.41666666666666669</v>
      </c>
      <c r="E13" s="17">
        <v>0.77222222222222225</v>
      </c>
      <c r="F13" s="11" t="str">
        <f t="shared" ref="F13" si="1">TEXT(E13-D13,"h:mm")</f>
        <v>8:32</v>
      </c>
      <c r="G13" s="21" t="s">
        <v>31</v>
      </c>
    </row>
    <row r="14" spans="2:9" ht="31.8" x14ac:dyDescent="0.3">
      <c r="B14" s="10">
        <v>45478</v>
      </c>
      <c r="C14" s="5" t="s">
        <v>21</v>
      </c>
      <c r="D14" s="17">
        <v>0.41666666666666669</v>
      </c>
      <c r="E14" s="17">
        <v>0.77777777777777779</v>
      </c>
      <c r="F14" s="11" t="str">
        <f t="shared" si="0"/>
        <v>8:40</v>
      </c>
      <c r="G14" s="21" t="s">
        <v>30</v>
      </c>
      <c r="I14" s="13"/>
    </row>
    <row r="15" spans="2:9" x14ac:dyDescent="0.3">
      <c r="B15" s="10">
        <v>45479</v>
      </c>
      <c r="C15" s="6" t="s">
        <v>22</v>
      </c>
      <c r="D15" s="17"/>
      <c r="E15" s="17"/>
      <c r="F15" s="11" t="str">
        <f t="shared" si="0"/>
        <v>0:00</v>
      </c>
      <c r="G15" s="15"/>
      <c r="I15" s="13"/>
    </row>
    <row r="16" spans="2:9" x14ac:dyDescent="0.3">
      <c r="B16" s="10">
        <v>45480</v>
      </c>
      <c r="C16" s="16" t="s">
        <v>23</v>
      </c>
      <c r="D16" s="17"/>
      <c r="E16" s="17"/>
      <c r="F16" s="11" t="str">
        <f t="shared" si="0"/>
        <v>0:00</v>
      </c>
      <c r="G16" s="15"/>
    </row>
    <row r="17" spans="2:7" x14ac:dyDescent="0.3">
      <c r="B17" s="10">
        <v>45481</v>
      </c>
      <c r="C17" s="5" t="s">
        <v>15</v>
      </c>
      <c r="D17" s="17">
        <v>0.41666666666666669</v>
      </c>
      <c r="E17" s="17">
        <v>0.76388888888888884</v>
      </c>
      <c r="F17" s="11" t="str">
        <f t="shared" si="0"/>
        <v>8:20</v>
      </c>
      <c r="G17" s="20" t="s">
        <v>50</v>
      </c>
    </row>
    <row r="18" spans="2:7" x14ac:dyDescent="0.3">
      <c r="B18" s="10" t="s">
        <v>36</v>
      </c>
      <c r="C18" s="12" t="s">
        <v>18</v>
      </c>
      <c r="D18" s="17">
        <v>0.41666666666666669</v>
      </c>
      <c r="E18" s="17">
        <v>0.77777777777777779</v>
      </c>
      <c r="F18" s="11" t="str">
        <f t="shared" si="0"/>
        <v>8:40</v>
      </c>
      <c r="G18" s="22" t="s">
        <v>37</v>
      </c>
    </row>
    <row r="19" spans="2:7" x14ac:dyDescent="0.3">
      <c r="B19" s="10">
        <v>45483</v>
      </c>
      <c r="C19" s="5" t="s">
        <v>19</v>
      </c>
      <c r="D19" s="17">
        <v>0.41666666666666669</v>
      </c>
      <c r="E19" s="17">
        <v>0.76041666666666663</v>
      </c>
      <c r="F19" s="11" t="str">
        <f t="shared" si="0"/>
        <v>8:15</v>
      </c>
      <c r="G19" s="23" t="s">
        <v>32</v>
      </c>
    </row>
    <row r="20" spans="2:7" x14ac:dyDescent="0.3">
      <c r="B20" s="10">
        <v>45484</v>
      </c>
      <c r="C20" s="12" t="s">
        <v>20</v>
      </c>
      <c r="D20" s="17">
        <v>0.4236111111111111</v>
      </c>
      <c r="E20" s="17">
        <v>0.76388888888888884</v>
      </c>
      <c r="F20" s="11" t="str">
        <f t="shared" si="0"/>
        <v>8:10</v>
      </c>
      <c r="G20" s="15" t="s">
        <v>39</v>
      </c>
    </row>
    <row r="21" spans="2:7" x14ac:dyDescent="0.3">
      <c r="B21" s="10">
        <v>45485</v>
      </c>
      <c r="C21" s="5" t="s">
        <v>21</v>
      </c>
      <c r="D21" s="17">
        <v>0.4201388888888889</v>
      </c>
      <c r="E21" s="17">
        <v>0.76041666666666663</v>
      </c>
      <c r="F21" s="11" t="str">
        <f t="shared" si="0"/>
        <v>8:10</v>
      </c>
      <c r="G21" s="15" t="s">
        <v>40</v>
      </c>
    </row>
    <row r="22" spans="2:7" x14ac:dyDescent="0.3">
      <c r="B22" s="10">
        <v>45486</v>
      </c>
      <c r="C22" s="6" t="s">
        <v>22</v>
      </c>
      <c r="D22" s="17"/>
      <c r="E22" s="17"/>
      <c r="F22" s="11" t="str">
        <f t="shared" si="0"/>
        <v>0:00</v>
      </c>
      <c r="G22" s="15"/>
    </row>
    <row r="23" spans="2:7" x14ac:dyDescent="0.3">
      <c r="B23" s="10">
        <v>45487</v>
      </c>
      <c r="C23" s="16" t="s">
        <v>23</v>
      </c>
      <c r="D23" s="17"/>
      <c r="E23" s="17"/>
      <c r="F23" s="11" t="str">
        <f t="shared" si="0"/>
        <v>0:00</v>
      </c>
      <c r="G23" s="15"/>
    </row>
    <row r="24" spans="2:7" x14ac:dyDescent="0.3">
      <c r="B24" s="10">
        <v>45488</v>
      </c>
      <c r="C24" s="6" t="s">
        <v>15</v>
      </c>
      <c r="D24" s="17"/>
      <c r="E24" s="17"/>
      <c r="F24" s="28" t="str">
        <f t="shared" si="0"/>
        <v>0:00</v>
      </c>
      <c r="G24" s="26" t="s">
        <v>41</v>
      </c>
    </row>
    <row r="25" spans="2:7" ht="21.6" x14ac:dyDescent="0.3">
      <c r="B25" s="10">
        <v>45489</v>
      </c>
      <c r="C25" s="12" t="s">
        <v>18</v>
      </c>
      <c r="D25" s="17">
        <v>0.41666666666666669</v>
      </c>
      <c r="E25" s="17">
        <v>0.75</v>
      </c>
      <c r="F25" s="11" t="str">
        <f t="shared" si="0"/>
        <v>8:00</v>
      </c>
      <c r="G25" s="24" t="s">
        <v>49</v>
      </c>
    </row>
    <row r="26" spans="2:7" x14ac:dyDescent="0.3">
      <c r="B26" s="10">
        <v>45490</v>
      </c>
      <c r="C26" s="5" t="s">
        <v>19</v>
      </c>
      <c r="D26" s="17">
        <v>0.41666666666666669</v>
      </c>
      <c r="E26" s="17">
        <v>0.75</v>
      </c>
      <c r="F26" s="11" t="str">
        <f t="shared" si="0"/>
        <v>8:00</v>
      </c>
      <c r="G26" s="15" t="s">
        <v>33</v>
      </c>
    </row>
    <row r="27" spans="2:7" ht="21.6" x14ac:dyDescent="0.3">
      <c r="B27" s="10">
        <v>45491</v>
      </c>
      <c r="C27" s="12" t="s">
        <v>20</v>
      </c>
      <c r="D27" s="17">
        <v>0.41666666666666669</v>
      </c>
      <c r="E27" s="17">
        <v>0.75</v>
      </c>
      <c r="F27" s="11" t="str">
        <f t="shared" si="0"/>
        <v>8:00</v>
      </c>
      <c r="G27" s="24" t="s">
        <v>34</v>
      </c>
    </row>
    <row r="28" spans="2:7" ht="21.6" x14ac:dyDescent="0.3">
      <c r="B28" s="10">
        <v>45492</v>
      </c>
      <c r="C28" s="5" t="s">
        <v>21</v>
      </c>
      <c r="D28" s="17">
        <v>0.4375</v>
      </c>
      <c r="E28" s="17">
        <v>0.78472222222222221</v>
      </c>
      <c r="F28" s="11" t="str">
        <f t="shared" si="0"/>
        <v>8:20</v>
      </c>
      <c r="G28" s="24" t="s">
        <v>35</v>
      </c>
    </row>
    <row r="29" spans="2:7" x14ac:dyDescent="0.3">
      <c r="B29" s="10">
        <v>45493</v>
      </c>
      <c r="C29" s="6" t="s">
        <v>22</v>
      </c>
      <c r="D29" s="17"/>
      <c r="E29" s="17"/>
      <c r="F29" s="11" t="str">
        <f t="shared" si="0"/>
        <v>0:00</v>
      </c>
      <c r="G29" s="15"/>
    </row>
    <row r="30" spans="2:7" x14ac:dyDescent="0.3">
      <c r="B30" s="10">
        <v>45494</v>
      </c>
      <c r="C30" s="16" t="s">
        <v>23</v>
      </c>
      <c r="D30" s="17"/>
      <c r="E30" s="17"/>
      <c r="F30" s="11" t="str">
        <f t="shared" si="0"/>
        <v>0:00</v>
      </c>
      <c r="G30" s="15"/>
    </row>
    <row r="31" spans="2:7" x14ac:dyDescent="0.3">
      <c r="B31" s="10">
        <v>45495</v>
      </c>
      <c r="C31" s="5" t="s">
        <v>15</v>
      </c>
      <c r="D31" s="17">
        <v>0.41666666666666669</v>
      </c>
      <c r="E31" s="17">
        <v>0.77083333333333337</v>
      </c>
      <c r="F31" s="11" t="str">
        <f t="shared" si="0"/>
        <v>8:30</v>
      </c>
      <c r="G31" s="15" t="s">
        <v>38</v>
      </c>
    </row>
    <row r="32" spans="2:7" x14ac:dyDescent="0.3">
      <c r="B32" s="10">
        <v>45496</v>
      </c>
      <c r="C32" s="12" t="s">
        <v>18</v>
      </c>
      <c r="D32" s="17">
        <v>0.4375</v>
      </c>
      <c r="E32" s="17">
        <v>0.77083333333333337</v>
      </c>
      <c r="F32" s="11" t="str">
        <f t="shared" si="0"/>
        <v>8:00</v>
      </c>
      <c r="G32" s="15" t="s">
        <v>42</v>
      </c>
    </row>
    <row r="33" spans="2:7" x14ac:dyDescent="0.3">
      <c r="B33" s="10">
        <v>45497</v>
      </c>
      <c r="C33" s="5" t="s">
        <v>19</v>
      </c>
      <c r="D33" s="17">
        <v>0.44097222222222227</v>
      </c>
      <c r="E33" s="17">
        <v>0.77777777777777779</v>
      </c>
      <c r="F33" s="11" t="str">
        <f t="shared" si="0"/>
        <v>8:05</v>
      </c>
      <c r="G33" s="15" t="s">
        <v>43</v>
      </c>
    </row>
    <row r="34" spans="2:7" x14ac:dyDescent="0.3">
      <c r="B34" s="10">
        <v>45498</v>
      </c>
      <c r="C34" s="12" t="s">
        <v>20</v>
      </c>
      <c r="D34" s="17">
        <v>0.4236111111111111</v>
      </c>
      <c r="E34" s="17">
        <v>0.76388888888888884</v>
      </c>
      <c r="F34" s="11" t="str">
        <f t="shared" si="0"/>
        <v>8:10</v>
      </c>
      <c r="G34" s="15" t="s">
        <v>46</v>
      </c>
    </row>
    <row r="35" spans="2:7" x14ac:dyDescent="0.3">
      <c r="B35" s="10">
        <v>45499</v>
      </c>
      <c r="C35" s="5" t="s">
        <v>21</v>
      </c>
      <c r="D35" s="17">
        <v>0.42708333333333331</v>
      </c>
      <c r="E35" s="17">
        <v>0.76736111111111116</v>
      </c>
      <c r="F35" s="11" t="str">
        <f t="shared" si="0"/>
        <v>8:10</v>
      </c>
      <c r="G35" s="15" t="s">
        <v>44</v>
      </c>
    </row>
    <row r="36" spans="2:7" x14ac:dyDescent="0.3">
      <c r="B36" s="10">
        <v>45500</v>
      </c>
      <c r="C36" s="6" t="s">
        <v>22</v>
      </c>
      <c r="D36" s="17"/>
      <c r="E36" s="17"/>
      <c r="F36" s="11" t="str">
        <f t="shared" si="0"/>
        <v>0:00</v>
      </c>
      <c r="G36" s="15"/>
    </row>
    <row r="37" spans="2:7" x14ac:dyDescent="0.3">
      <c r="B37" s="10">
        <v>45501</v>
      </c>
      <c r="C37" s="16" t="s">
        <v>23</v>
      </c>
      <c r="D37" s="17"/>
      <c r="E37" s="17"/>
      <c r="F37" s="11" t="str">
        <f t="shared" si="0"/>
        <v>0:00</v>
      </c>
      <c r="G37" s="15"/>
    </row>
    <row r="38" spans="2:7" ht="22.2" customHeight="1" x14ac:dyDescent="0.3">
      <c r="B38" s="10">
        <v>45502</v>
      </c>
      <c r="C38" s="5" t="s">
        <v>15</v>
      </c>
      <c r="D38" s="17">
        <v>0.4375</v>
      </c>
      <c r="E38" s="17">
        <v>0.77430555555555547</v>
      </c>
      <c r="F38" s="11" t="str">
        <f t="shared" si="0"/>
        <v>8:05</v>
      </c>
      <c r="G38" s="27" t="s">
        <v>45</v>
      </c>
    </row>
    <row r="39" spans="2:7" ht="31.8" x14ac:dyDescent="0.3">
      <c r="B39" s="10">
        <v>45503</v>
      </c>
      <c r="C39" s="12" t="s">
        <v>18</v>
      </c>
      <c r="D39" s="17">
        <v>0.4201388888888889</v>
      </c>
      <c r="E39" s="17">
        <v>0.78125</v>
      </c>
      <c r="F39" s="11" t="str">
        <f t="shared" si="0"/>
        <v>8:40</v>
      </c>
      <c r="G39" s="27" t="s">
        <v>48</v>
      </c>
    </row>
    <row r="40" spans="2:7" ht="21.6" x14ac:dyDescent="0.3">
      <c r="B40" s="10">
        <v>45504</v>
      </c>
      <c r="C40" s="5" t="s">
        <v>19</v>
      </c>
      <c r="D40" s="17">
        <v>0.4375</v>
      </c>
      <c r="E40" s="17">
        <v>0.78125</v>
      </c>
      <c r="F40" s="11" t="str">
        <f t="shared" si="0"/>
        <v>8:15</v>
      </c>
      <c r="G40" s="27" t="s">
        <v>47</v>
      </c>
    </row>
    <row r="41" spans="2:7" ht="25.8" x14ac:dyDescent="0.3">
      <c r="B41" s="19"/>
      <c r="C41" s="16"/>
      <c r="D41" s="3" t="s">
        <v>24</v>
      </c>
      <c r="E41" s="29">
        <v>173.75</v>
      </c>
      <c r="F41" s="25"/>
      <c r="G41" s="19"/>
    </row>
    <row r="42" spans="2:7" x14ac:dyDescent="0.3">
      <c r="B42" s="19" t="s">
        <v>9</v>
      </c>
      <c r="D42" s="19"/>
      <c r="E42" s="19" t="s">
        <v>10</v>
      </c>
      <c r="F42" s="19"/>
      <c r="G42" s="19"/>
    </row>
    <row r="43" spans="2:7" x14ac:dyDescent="0.3">
      <c r="B43" s="19" t="s">
        <v>16</v>
      </c>
      <c r="C43" s="19" t="s">
        <v>26</v>
      </c>
      <c r="D43" s="19"/>
      <c r="E43" s="19" t="s">
        <v>16</v>
      </c>
      <c r="F43" s="19" t="s">
        <v>51</v>
      </c>
      <c r="G43" s="19"/>
    </row>
    <row r="44" spans="2:7" x14ac:dyDescent="0.3">
      <c r="B44" s="19"/>
      <c r="C44" s="19"/>
      <c r="D44" s="19"/>
      <c r="E44" s="19"/>
      <c r="F44" s="19"/>
      <c r="G44" s="19"/>
    </row>
  </sheetData>
  <mergeCells count="7">
    <mergeCell ref="B2:G2"/>
    <mergeCell ref="D3:G3"/>
    <mergeCell ref="D4:G4"/>
    <mergeCell ref="D8:G8"/>
    <mergeCell ref="D7:G7"/>
    <mergeCell ref="D6:G6"/>
    <mergeCell ref="D5:G5"/>
  </mergeCells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498B-2CFF-45B4-B8F4-3A20D1F2D7D2}">
  <dimension ref="I10:R20"/>
  <sheetViews>
    <sheetView workbookViewId="0">
      <selection activeCell="I20" sqref="I20"/>
    </sheetView>
  </sheetViews>
  <sheetFormatPr defaultRowHeight="14.4" x14ac:dyDescent="0.3"/>
  <sheetData>
    <row r="10" spans="18:18" x14ac:dyDescent="0.3">
      <c r="R10">
        <f>9*4+45+36+45+9*3</f>
        <v>189</v>
      </c>
    </row>
    <row r="18" spans="9:10" x14ac:dyDescent="0.3">
      <c r="J18">
        <f>40+40+40+8*3</f>
        <v>144</v>
      </c>
    </row>
    <row r="19" spans="9:10" x14ac:dyDescent="0.3">
      <c r="J19">
        <f>9*3</f>
        <v>27</v>
      </c>
    </row>
    <row r="20" spans="9:10" x14ac:dyDescent="0.3">
      <c r="I20">
        <f>21*8</f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Base</vt:lpstr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Gangadhar Baswan</dc:creator>
  <cp:lastModifiedBy>Sarita  Lad</cp:lastModifiedBy>
  <cp:lastPrinted>2017-02-01T10:37:40Z</cp:lastPrinted>
  <dcterms:created xsi:type="dcterms:W3CDTF">2016-12-08T07:45:45Z</dcterms:created>
  <dcterms:modified xsi:type="dcterms:W3CDTF">2024-08-23T11:53:23Z</dcterms:modified>
</cp:coreProperties>
</file>