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Year_2026\"/>
    </mc:Choice>
  </mc:AlternateContent>
  <xr:revisionPtr revIDLastSave="0" documentId="13_ncr:1_{B33A1D3A-52EE-4101-9001-3B94C6C8AE0E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  <sheet name="Sheet1" sheetId="3" r:id="rId2"/>
  </sheets>
  <calcPr calcId="191029"/>
</workbook>
</file>

<file path=xl/calcChain.xml><?xml version="1.0" encoding="utf-8"?>
<calcChain xmlns="http://schemas.openxmlformats.org/spreadsheetml/2006/main">
  <c r="D42" i="2" l="1"/>
  <c r="E19" i="2" l="1"/>
  <c r="E20" i="2"/>
  <c r="E33" i="2"/>
  <c r="E34" i="2"/>
  <c r="E35" i="2"/>
  <c r="E36" i="2"/>
  <c r="E37" i="2"/>
  <c r="E26" i="2"/>
  <c r="E27" i="2"/>
  <c r="E13" i="2"/>
  <c r="E12" i="2"/>
  <c r="B10" i="2"/>
  <c r="B11" i="2"/>
  <c r="B12" i="2"/>
  <c r="B13" i="2"/>
  <c r="B14" i="2"/>
  <c r="E14" i="2"/>
  <c r="B15" i="2"/>
  <c r="E15" i="2"/>
  <c r="B16" i="2"/>
  <c r="E16" i="2"/>
  <c r="B17" i="2"/>
  <c r="E17" i="2"/>
  <c r="B18" i="2"/>
  <c r="E18" i="2"/>
  <c r="B19" i="2"/>
  <c r="B20" i="2"/>
  <c r="B21" i="2"/>
  <c r="E21" i="2"/>
  <c r="B22" i="2"/>
  <c r="E22" i="2"/>
  <c r="B23" i="2"/>
  <c r="E23" i="2"/>
  <c r="B24" i="2"/>
  <c r="E24" i="2"/>
  <c r="B25" i="2"/>
  <c r="E25" i="2"/>
  <c r="B26" i="2"/>
  <c r="B27" i="2"/>
  <c r="B28" i="2"/>
  <c r="E28" i="2"/>
  <c r="B29" i="2"/>
  <c r="E29" i="2"/>
  <c r="B30" i="2"/>
  <c r="E30" i="2"/>
  <c r="B31" i="2"/>
  <c r="E31" i="2"/>
  <c r="B32" i="2"/>
  <c r="E32" i="2"/>
  <c r="B33" i="2"/>
  <c r="B34" i="2"/>
  <c r="B35" i="2"/>
  <c r="B36" i="2"/>
  <c r="B37" i="2"/>
  <c r="E38" i="2"/>
  <c r="E39" i="2"/>
  <c r="B5" i="3" l="1"/>
  <c r="B4" i="3"/>
  <c r="B3" i="3"/>
</calcChain>
</file>

<file path=xl/sharedStrings.xml><?xml version="1.0" encoding="utf-8"?>
<sst xmlns="http://schemas.openxmlformats.org/spreadsheetml/2006/main" count="72" uniqueCount="40">
  <si>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</si>
  <si>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</si>
  <si>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</si>
  <si>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</si>
  <si>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</si>
  <si>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</si>
  <si>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</si>
  <si>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</si>
  <si>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</si>
  <si>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</si>
  <si>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</si>
  <si>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</si>
  <si>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</si>
  <si>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</si>
  <si>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</si>
  <si>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</si>
  <si>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</si>
  <si>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</si>
  <si>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</si>
  <si>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</si>
  <si>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</si>
  <si>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Rahul Porwal</t>
  </si>
  <si>
    <t>wfh</t>
  </si>
  <si>
    <t>2:15 pm Pool Standup Call ,3:30 pm ElevateX batch Started Introduction Clean Code</t>
  </si>
  <si>
    <t>2:15 pm Pool Standup Call 3:30 pm ElevateX Azure SQL DB,Hyperscale</t>
  </si>
  <si>
    <t>2:15 pm Pool Standup Call 3:30 pm ElevateX Azure CosmosDB</t>
  </si>
  <si>
    <t>s</t>
  </si>
  <si>
    <t>Paid Leave forwarded from December25</t>
  </si>
  <si>
    <t>11:20am Monica Q Vault Call  2:15pm Pool Call, 3:00pm Power app Poolcall, 3:30 pm Azure Call</t>
  </si>
  <si>
    <t>11:30 am ASPnet training(3),2:15pm MS Pool Stand up call, 3:00pm PowerApp Stand Up call ,3:30 pm Azure Training,8:30 pm USA Call Blazor</t>
  </si>
  <si>
    <t>11:00 amRahul Meeting.net Pool ,11:30 am Rahul meeting Power App Pool ,2:15pm MS Pool Stand up call, 3:00pm PowerApp Stand Up call ,8:30 pm USA Call Blazor</t>
  </si>
  <si>
    <t>2:15pm MS Pool Stand up call, 3:00pm PowerApp Stand Up call ,3:30 pm Azure Training</t>
  </si>
  <si>
    <t>wfo</t>
  </si>
  <si>
    <t>11:15 am Rahul meeting about Pool Team,,3pm PowerApp Standup call , 3:30 Auzure Training,, dotnet Training of 4 team members at 11:30 and 3 pm</t>
  </si>
  <si>
    <t xml:space="preserve">2:15 pm dotnetpool stand up call, 3pm Powerapp standupcall, 3:30pm Azure Training Service bus </t>
  </si>
  <si>
    <t>No leave in Feb month,No Leave in Jan month , No leave in Dec 25</t>
  </si>
  <si>
    <t>2:15 pm dotnetpool stand up call,11:30 to 1:30pm .net training , 3pm Powerapp standupcall,3:30 to 4:30pm dotnet training</t>
  </si>
  <si>
    <t>2:15 pm dotnetpool stand up call, 3pm Powerapp standupcall, Azure DatFactory  POC</t>
  </si>
  <si>
    <t>2:15 pm dotnetpool stand up call, 3pm Powerapp standupcall,Azure DataFactory POC</t>
  </si>
  <si>
    <t>2:15 pm dotnetpool stand up call, 3pm Powerapp standupcall,Azure Redis Catche 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</si>
</sst>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0" fontId="0" fillId="0" borderId="1" xfId="0" applyBorder="1"/>
    <xf numFmtId="165" fontId="0" fillId="0" borderId="1" xfId="0" applyNumberFormat="1" applyFont="1" applyBorder="1"/>
    <xf numFmtId="0" fontId="6" fillId="0" borderId="6" xfId="0" applyFont="1" applyFill="1" applyBorder="1"/>
    <xf numFmtId="15" fontId="3" fillId="0" borderId="1" xfId="0" applyNumberFormat="1" applyFont="1" applyBorder="1"/>
    <xf numFmtId="18" fontId="7" fillId="0" borderId="1" xfId="0" applyNumberFormat="1" applyFont="1" applyFill="1" applyBorder="1"/>
    <xf numFmtId="18" fontId="6" fillId="0" borderId="1" xfId="0" applyNumberFormat="1" applyFont="1" applyFill="1" applyBorder="1"/>
    <xf numFmtId="20" fontId="6" fillId="0" borderId="1" xfId="0" applyNumberFormat="1" applyFont="1" applyFill="1" applyBorder="1"/>
    <xf numFmtId="15" fontId="2" fillId="0" borderId="7" xfId="0" applyNumberFormat="1" applyFont="1" applyBorder="1" applyAlignment="1">
      <alignment horizontal="center"/>
    </xf>
    <xf numFmtId="15" fontId="3" fillId="0" borderId="0" xfId="0" applyNumberFormat="1" applyFont="1" applyBorder="1"/>
    <xf numFmtId="0" fontId="4" fillId="0" borderId="0" xfId="0" applyFont="1"/>
    <xf numFmtId="0" fontId="4" fillId="0" borderId="1" xfId="0" applyFont="1" applyBorder="1"/>
    <xf numFmtId="0" fontId="6" fillId="0" borderId="6" xfId="0" applyFont="1" applyFill="1" applyBorder="1" applyAlignment="1">
      <alignment wrapText="1"/>
    </xf>
    <xf numFmtId="0" fontId="3" fillId="0" borderId="1" xfId="0" applyFont="1" applyBorder="1"/>
    <xf numFmtId="15" fontId="5" fillId="0" borderId="5" xfId="0" applyNumberFormat="1" applyFont="1" applyBorder="1" applyAlignment="1">
      <alignment horizontal="center"/>
    </xf>
    <xf numFmtId="15" fontId="6" fillId="0" borderId="1" xfId="0" applyNumberFormat="1" applyFont="1" applyBorder="1"/>
    <xf numFmtId="16" fontId="0" fillId="0" borderId="0" xfId="0" applyNumberFormat="1"/>
    <xf numFmtId="15" fontId="3" fillId="0" borderId="5" xfId="0" applyNumberFormat="1" applyFont="1" applyBorder="1" applyAlignment="1">
      <alignment horizontal="center"/>
    </xf>
    <xf numFmtId="15" fontId="7" fillId="0" borderId="1" xfId="0" applyNumberFormat="1" applyFont="1" applyBorder="1"/>
    <xf numFmtId="0" fontId="8" fillId="0" borderId="0" xfId="0" applyFont="1"/>
    <xf numFmtId="0" fontId="9" fillId="0" borderId="0" xfId="0" applyFont="1"/>
    <xf numFmtId="0" fontId="7" fillId="0" borderId="6" xfId="0" applyFont="1" applyFill="1" applyBorder="1" applyAlignment="1">
      <alignment wrapText="1"/>
    </xf>
    <xf numFmtId="20" fontId="7" fillId="0" borderId="1" xfId="0" applyNumberFormat="1" applyFont="1" applyFill="1" applyBorder="1"/>
    <xf numFmtId="2" fontId="10" fillId="0" borderId="1" xfId="0" applyNumberFormat="1" applyFont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Alignment="1">
      <alignment horizontal="left"/>
    </xf>
    <xf numFmtId="20" fontId="1" fillId="0" borderId="0" xfId="0" applyNumberFormat="1" applyFont="1" applyFill="1" applyBorder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zoomScaleNormal="100" workbookViewId="0">
      <selection activeCell="G1" sqref="G1:G1048576"/>
    </sheetView>
  </sheetViews>
  <sheetFormatPr defaultRowHeight="14.4" x14ac:dyDescent="0.3"/>
  <cols>
    <col min="1" max="1" width="13.109375" bestFit="1" customWidth="1"/>
    <col min="2" max="2" width="13.109375" customWidth="1"/>
    <col min="3" max="3" width="12.6640625" bestFit="1" customWidth="1"/>
    <col min="4" max="4" width="16.6640625" customWidth="1"/>
    <col min="5" max="5" width="7.5546875" customWidth="1"/>
    <col min="6" max="6" width="101.44140625" customWidth="1"/>
    <col min="7" max="7" width="4.5546875" hidden="1" customWidth="1"/>
    <col min="8" max="8" width="12.33203125" style="36" customWidth="1"/>
    <col min="9" max="9" width="6" customWidth="1"/>
  </cols>
  <sheetData>
    <row r="1" spans="1:8" ht="15" thickBot="1" x14ac:dyDescent="0.35">
      <c r="G1" t="s">
        <v>26</v>
      </c>
    </row>
    <row r="2" spans="1:8" x14ac:dyDescent="0.3">
      <c r="A2" s="31" t="s">
        <v>0</v>
      </c>
      <c r="B2" s="32"/>
      <c r="C2" s="32"/>
      <c r="D2" s="32"/>
      <c r="E2" s="32"/>
      <c r="F2" s="33"/>
    </row>
    <row r="3" spans="1:8" x14ac:dyDescent="0.3">
      <c r="A3" s="4" t="s">
        <v>1</v>
      </c>
      <c r="B3" s="1"/>
      <c r="C3" s="34" t="s">
        <v>19</v>
      </c>
      <c r="D3" s="34"/>
      <c r="E3" s="34"/>
      <c r="F3" s="35"/>
    </row>
    <row r="4" spans="1:8" x14ac:dyDescent="0.3">
      <c r="A4" s="4" t="s">
        <v>2</v>
      </c>
      <c r="B4" s="1"/>
      <c r="C4" s="34">
        <v>1601949</v>
      </c>
      <c r="D4" s="34"/>
      <c r="E4" s="34"/>
      <c r="F4" s="35"/>
    </row>
    <row r="5" spans="1:8" x14ac:dyDescent="0.3">
      <c r="A5" s="4" t="s">
        <v>3</v>
      </c>
      <c r="B5" s="1"/>
      <c r="C5" s="34" t="s">
        <v>18</v>
      </c>
      <c r="D5" s="34"/>
      <c r="E5" s="34"/>
      <c r="F5" s="35"/>
    </row>
    <row r="6" spans="1:8" x14ac:dyDescent="0.3">
      <c r="A6" s="4" t="s">
        <v>4</v>
      </c>
      <c r="B6" s="1"/>
      <c r="C6" s="34">
        <v>9823405709</v>
      </c>
      <c r="D6" s="34"/>
      <c r="E6" s="34"/>
      <c r="F6" s="35"/>
    </row>
    <row r="7" spans="1:8" x14ac:dyDescent="0.3">
      <c r="A7" s="4" t="s">
        <v>5</v>
      </c>
      <c r="B7" s="1"/>
      <c r="C7" s="34"/>
      <c r="D7" s="34"/>
      <c r="E7" s="34"/>
      <c r="F7" s="35"/>
    </row>
    <row r="8" spans="1:8" x14ac:dyDescent="0.3">
      <c r="A8" s="4" t="s">
        <v>6</v>
      </c>
      <c r="B8" s="1"/>
      <c r="C8" s="34" t="s">
        <v>16</v>
      </c>
      <c r="D8" s="34"/>
      <c r="E8" s="34"/>
      <c r="F8" s="35"/>
    </row>
    <row r="9" spans="1:8" x14ac:dyDescent="0.3">
      <c r="A9" s="5" t="s">
        <v>7</v>
      </c>
      <c r="B9" s="3" t="s">
        <v>8</v>
      </c>
      <c r="C9" s="2" t="s">
        <v>11</v>
      </c>
      <c r="D9" s="2" t="s">
        <v>12</v>
      </c>
      <c r="E9" s="2" t="s">
        <v>13</v>
      </c>
      <c r="F9" s="6" t="s">
        <v>14</v>
      </c>
    </row>
    <row r="10" spans="1:8" x14ac:dyDescent="0.3">
      <c r="A10" s="24">
        <v>46054</v>
      </c>
      <c r="B10" s="25" t="str">
        <f>TEXT(A10,"DDDD")</f>
        <v>Sunday</v>
      </c>
      <c r="C10" s="13"/>
      <c r="D10" s="13"/>
      <c r="E10" s="14"/>
      <c r="F10" s="26"/>
      <c r="H10" s="37"/>
    </row>
    <row r="11" spans="1:8" x14ac:dyDescent="0.3">
      <c r="A11" s="24">
        <v>46055</v>
      </c>
      <c r="B11" s="25" t="str">
        <f>TEXT(A11,"DDDD")</f>
        <v>Monday</v>
      </c>
      <c r="C11" s="13"/>
      <c r="D11" s="13"/>
      <c r="E11" s="14"/>
      <c r="F11" s="28" t="s">
        <v>27</v>
      </c>
      <c r="H11" s="37"/>
    </row>
    <row r="12" spans="1:8" ht="12.6" customHeight="1" x14ac:dyDescent="0.3">
      <c r="A12" s="24">
        <v>46056</v>
      </c>
      <c r="B12" s="22" t="str">
        <f t="shared" ref="B12:B37" si="0">TEXT(A12,"DDDD")</f>
        <v>Tuesday</v>
      </c>
      <c r="C12" s="13">
        <v>0.41666666666666669</v>
      </c>
      <c r="D12" s="13">
        <v>0.75</v>
      </c>
      <c r="E12" s="14" t="str">
        <f t="shared" ref="E12:E13" si="1">TEXT(D12-C12,"h:mm")</f>
        <v>8:00</v>
      </c>
      <c r="F12" s="19" t="s">
        <v>29</v>
      </c>
      <c r="G12" t="s">
        <v>22</v>
      </c>
    </row>
    <row r="13" spans="1:8" x14ac:dyDescent="0.3">
      <c r="A13" s="24">
        <v>46057</v>
      </c>
      <c r="B13" s="22" t="str">
        <f t="shared" si="0"/>
        <v>Wednesday</v>
      </c>
      <c r="C13" s="13">
        <v>0.41666666666666669</v>
      </c>
      <c r="D13" s="13">
        <v>0.75</v>
      </c>
      <c r="E13" s="14" t="str">
        <f t="shared" si="1"/>
        <v>8:00</v>
      </c>
      <c r="F13" s="19" t="s">
        <v>29</v>
      </c>
      <c r="G13" t="s">
        <v>22</v>
      </c>
    </row>
    <row r="14" spans="1:8" ht="18" customHeight="1" x14ac:dyDescent="0.3">
      <c r="A14" s="24">
        <v>46058</v>
      </c>
      <c r="B14" s="22" t="str">
        <f t="shared" si="0"/>
        <v>Thursday</v>
      </c>
      <c r="C14" s="13">
        <v>0.41666666666666669</v>
      </c>
      <c r="D14" s="13">
        <v>0.75</v>
      </c>
      <c r="E14" s="14" t="str">
        <f t="shared" ref="E14:E39" si="2">TEXT(D14-C14,"h:mm")</f>
        <v>8:00</v>
      </c>
      <c r="F14" s="19" t="s">
        <v>29</v>
      </c>
      <c r="G14" t="s">
        <v>22</v>
      </c>
      <c r="H14" s="38"/>
    </row>
    <row r="15" spans="1:8" ht="21.6" x14ac:dyDescent="0.3">
      <c r="A15" s="24">
        <v>46059</v>
      </c>
      <c r="B15" s="22" t="str">
        <f>TEXT(A15,"DDDD")</f>
        <v>Friday</v>
      </c>
      <c r="C15" s="13">
        <v>0.41666666666666669</v>
      </c>
      <c r="D15" s="13">
        <v>0.75</v>
      </c>
      <c r="E15" s="14" t="str">
        <f t="shared" si="2"/>
        <v>8:00</v>
      </c>
      <c r="F15" s="19" t="s">
        <v>30</v>
      </c>
      <c r="G15" t="s">
        <v>22</v>
      </c>
      <c r="H15" s="38"/>
    </row>
    <row r="16" spans="1:8" x14ac:dyDescent="0.3">
      <c r="A16" s="21">
        <v>46060</v>
      </c>
      <c r="B16" s="25" t="str">
        <f t="shared" si="0"/>
        <v>Saturday</v>
      </c>
      <c r="C16" s="12"/>
      <c r="D16" s="12"/>
      <c r="E16" s="29" t="str">
        <f t="shared" si="2"/>
        <v>0:00</v>
      </c>
      <c r="F16" s="19"/>
    </row>
    <row r="17" spans="1:7" x14ac:dyDescent="0.3">
      <c r="A17" s="21">
        <v>46061</v>
      </c>
      <c r="B17" s="25" t="str">
        <f t="shared" si="0"/>
        <v>Sunday</v>
      </c>
      <c r="C17" s="12"/>
      <c r="D17" s="12"/>
      <c r="E17" s="29" t="str">
        <f t="shared" si="2"/>
        <v>0:00</v>
      </c>
      <c r="F17" s="19"/>
    </row>
    <row r="18" spans="1:7" ht="13.2" customHeight="1" x14ac:dyDescent="0.3">
      <c r="A18" s="24">
        <v>46062</v>
      </c>
      <c r="B18" s="22" t="str">
        <f t="shared" si="0"/>
        <v>Monday</v>
      </c>
      <c r="C18" s="13">
        <v>0.41666666666666669</v>
      </c>
      <c r="D18" s="13">
        <v>0.75</v>
      </c>
      <c r="E18" s="14" t="str">
        <f t="shared" ref="E18:E20" si="3">TEXT(D18-C18,"h:mm")</f>
        <v>8:00</v>
      </c>
      <c r="F18" s="19" t="s">
        <v>28</v>
      </c>
      <c r="G18" t="s">
        <v>22</v>
      </c>
    </row>
    <row r="19" spans="1:7" ht="12" customHeight="1" x14ac:dyDescent="0.3">
      <c r="A19" s="24">
        <v>46063</v>
      </c>
      <c r="B19" s="22" t="str">
        <f t="shared" si="0"/>
        <v>Tuesday</v>
      </c>
      <c r="C19" s="13">
        <v>0.41666666666666669</v>
      </c>
      <c r="D19" s="13">
        <v>0.75</v>
      </c>
      <c r="E19" s="14" t="str">
        <f t="shared" si="3"/>
        <v>8:00</v>
      </c>
      <c r="F19" s="10" t="s">
        <v>31</v>
      </c>
      <c r="G19" t="s">
        <v>32</v>
      </c>
    </row>
    <row r="20" spans="1:7" x14ac:dyDescent="0.3">
      <c r="A20" s="24">
        <v>46064</v>
      </c>
      <c r="B20" s="22" t="str">
        <f t="shared" si="0"/>
        <v>Wednesday</v>
      </c>
      <c r="C20" s="13">
        <v>0.41666666666666669</v>
      </c>
      <c r="D20" s="13">
        <v>0.75</v>
      </c>
      <c r="E20" s="14" t="str">
        <f t="shared" si="3"/>
        <v>8:00</v>
      </c>
      <c r="F20" s="10" t="s">
        <v>31</v>
      </c>
      <c r="G20" t="s">
        <v>32</v>
      </c>
    </row>
    <row r="21" spans="1:7" x14ac:dyDescent="0.3">
      <c r="A21" s="24">
        <v>46065</v>
      </c>
      <c r="B21" s="22" t="str">
        <f t="shared" si="0"/>
        <v>Thursday</v>
      </c>
      <c r="C21" s="13">
        <v>0.41666666666666669</v>
      </c>
      <c r="D21" s="13">
        <v>0.75</v>
      </c>
      <c r="E21" s="14" t="str">
        <f t="shared" si="2"/>
        <v>8:00</v>
      </c>
      <c r="F21" s="10" t="s">
        <v>31</v>
      </c>
      <c r="G21" t="s">
        <v>32</v>
      </c>
    </row>
    <row r="22" spans="1:7" x14ac:dyDescent="0.3">
      <c r="A22" s="24">
        <v>46066</v>
      </c>
      <c r="B22" s="22" t="str">
        <f t="shared" si="0"/>
        <v>Friday</v>
      </c>
      <c r="C22" s="13">
        <v>0.41666666666666669</v>
      </c>
      <c r="D22" s="13">
        <v>0.75</v>
      </c>
      <c r="E22" s="14" t="str">
        <f t="shared" ref="E22:E23" si="4">TEXT(D22-C22,"h:mm")</f>
        <v>8:00</v>
      </c>
      <c r="F22" s="10" t="s">
        <v>31</v>
      </c>
      <c r="G22" t="s">
        <v>32</v>
      </c>
    </row>
    <row r="23" spans="1:7" x14ac:dyDescent="0.3">
      <c r="A23" s="21">
        <v>46067</v>
      </c>
      <c r="B23" s="25" t="str">
        <f t="shared" si="0"/>
        <v>Saturday</v>
      </c>
      <c r="C23" s="12"/>
      <c r="D23" s="12"/>
      <c r="E23" s="29" t="str">
        <f t="shared" si="4"/>
        <v>0:00</v>
      </c>
      <c r="F23" s="10"/>
    </row>
    <row r="24" spans="1:7" x14ac:dyDescent="0.3">
      <c r="A24" s="21">
        <v>46068</v>
      </c>
      <c r="B24" s="25" t="str">
        <f t="shared" si="0"/>
        <v>Sunday</v>
      </c>
      <c r="C24" s="12"/>
      <c r="D24" s="12"/>
      <c r="E24" s="29" t="str">
        <f t="shared" si="2"/>
        <v>0:00</v>
      </c>
      <c r="F24" s="10"/>
    </row>
    <row r="25" spans="1:7" x14ac:dyDescent="0.3">
      <c r="A25" s="24">
        <v>46069</v>
      </c>
      <c r="B25" s="22" t="str">
        <f t="shared" si="0"/>
        <v>Monday</v>
      </c>
      <c r="C25" s="13">
        <v>0.41666666666666669</v>
      </c>
      <c r="D25" s="13">
        <v>0.75</v>
      </c>
      <c r="E25" s="14" t="str">
        <f>TEXT(D25-C25,"h:mm")</f>
        <v>8:00</v>
      </c>
      <c r="F25" s="10" t="s">
        <v>31</v>
      </c>
      <c r="G25" t="s">
        <v>32</v>
      </c>
    </row>
    <row r="26" spans="1:7" x14ac:dyDescent="0.3">
      <c r="A26" s="24">
        <v>46070</v>
      </c>
      <c r="B26" s="22" t="str">
        <f t="shared" si="0"/>
        <v>Tuesday</v>
      </c>
      <c r="C26" s="13">
        <v>0.41666666666666669</v>
      </c>
      <c r="D26" s="13">
        <v>0.75</v>
      </c>
      <c r="E26" s="14" t="str">
        <f t="shared" ref="E26:E27" si="5">TEXT(D26-C26,"h:mm")</f>
        <v>8:00</v>
      </c>
      <c r="F26" s="10" t="s">
        <v>31</v>
      </c>
      <c r="G26" t="s">
        <v>32</v>
      </c>
    </row>
    <row r="27" spans="1:7" x14ac:dyDescent="0.3">
      <c r="A27" s="24">
        <v>46071</v>
      </c>
      <c r="B27" s="22" t="str">
        <f t="shared" si="0"/>
        <v>Wednesday</v>
      </c>
      <c r="C27" s="13">
        <v>0.41666666666666669</v>
      </c>
      <c r="D27" s="13">
        <v>0.75</v>
      </c>
      <c r="E27" s="14" t="str">
        <f t="shared" si="5"/>
        <v>8:00</v>
      </c>
      <c r="F27" s="10" t="s">
        <v>31</v>
      </c>
      <c r="G27" t="s">
        <v>32</v>
      </c>
    </row>
    <row r="28" spans="1:7" x14ac:dyDescent="0.3">
      <c r="A28" s="24">
        <v>46072</v>
      </c>
      <c r="B28" s="22" t="str">
        <f t="shared" si="0"/>
        <v>Thursday</v>
      </c>
      <c r="C28" s="13">
        <v>0.41666666666666669</v>
      </c>
      <c r="D28" s="13">
        <v>0.75</v>
      </c>
      <c r="E28" s="14" t="str">
        <f t="shared" ref="E28:E29" si="6">TEXT(D28-C28,"h:mm")</f>
        <v>8:00</v>
      </c>
      <c r="F28" s="10" t="s">
        <v>31</v>
      </c>
      <c r="G28" t="s">
        <v>32</v>
      </c>
    </row>
    <row r="29" spans="1:7" x14ac:dyDescent="0.3">
      <c r="A29" s="24">
        <v>46073</v>
      </c>
      <c r="B29" s="22" t="str">
        <f t="shared" si="0"/>
        <v>Friday</v>
      </c>
      <c r="C29" s="13">
        <v>0.41666666666666669</v>
      </c>
      <c r="D29" s="13">
        <v>0.75</v>
      </c>
      <c r="E29" s="14" t="str">
        <f t="shared" si="6"/>
        <v>8:00</v>
      </c>
      <c r="F29" s="10" t="s">
        <v>33</v>
      </c>
      <c r="G29" t="s">
        <v>32</v>
      </c>
    </row>
    <row r="30" spans="1:7" x14ac:dyDescent="0.3">
      <c r="A30" s="21">
        <v>46074</v>
      </c>
      <c r="B30" s="25" t="str">
        <f t="shared" si="0"/>
        <v>Saturday</v>
      </c>
      <c r="C30" s="12"/>
      <c r="D30" s="12"/>
      <c r="E30" s="29" t="str">
        <f t="shared" ref="E30" si="7">TEXT(D30-C30,"h:mm")</f>
        <v>0:00</v>
      </c>
      <c r="F30" s="10"/>
    </row>
    <row r="31" spans="1:7" x14ac:dyDescent="0.3">
      <c r="A31" s="21">
        <v>46075</v>
      </c>
      <c r="B31" s="25" t="str">
        <f t="shared" si="0"/>
        <v>Sunday</v>
      </c>
      <c r="C31" s="12"/>
      <c r="D31" s="12"/>
      <c r="E31" s="29" t="str">
        <f t="shared" si="2"/>
        <v>0:00</v>
      </c>
      <c r="F31" s="10"/>
    </row>
    <row r="32" spans="1:7" x14ac:dyDescent="0.3">
      <c r="A32" s="24">
        <v>46076</v>
      </c>
      <c r="B32" s="22" t="str">
        <f t="shared" si="0"/>
        <v>Monday</v>
      </c>
      <c r="C32" s="13">
        <v>0.41666666666666669</v>
      </c>
      <c r="D32" s="13">
        <v>0.75</v>
      </c>
      <c r="E32" s="14" t="str">
        <f t="shared" si="2"/>
        <v>8:00</v>
      </c>
      <c r="F32" s="10" t="s">
        <v>34</v>
      </c>
      <c r="G32" t="s">
        <v>32</v>
      </c>
    </row>
    <row r="33" spans="1:10" x14ac:dyDescent="0.3">
      <c r="A33" s="24">
        <v>46077</v>
      </c>
      <c r="B33" s="22" t="str">
        <f t="shared" si="0"/>
        <v>Tuesday</v>
      </c>
      <c r="C33" s="13">
        <v>0.41666666666666669</v>
      </c>
      <c r="D33" s="13">
        <v>0.75</v>
      </c>
      <c r="E33" s="14" t="str">
        <f t="shared" si="2"/>
        <v>8:00</v>
      </c>
      <c r="F33" s="10" t="s">
        <v>36</v>
      </c>
      <c r="G33" t="s">
        <v>32</v>
      </c>
    </row>
    <row r="34" spans="1:10" x14ac:dyDescent="0.3">
      <c r="A34" s="24">
        <v>46078</v>
      </c>
      <c r="B34" s="22" t="str">
        <f t="shared" si="0"/>
        <v>Wednesday</v>
      </c>
      <c r="C34" s="13">
        <v>0.41666666666666669</v>
      </c>
      <c r="D34" s="13">
        <v>0.75</v>
      </c>
      <c r="E34" s="14" t="str">
        <f t="shared" si="2"/>
        <v>8:00</v>
      </c>
      <c r="F34" s="10" t="s">
        <v>37</v>
      </c>
      <c r="G34" t="s">
        <v>32</v>
      </c>
    </row>
    <row r="35" spans="1:10" x14ac:dyDescent="0.3">
      <c r="A35" s="24">
        <v>46079</v>
      </c>
      <c r="B35" s="22" t="str">
        <f t="shared" si="0"/>
        <v>Thursday</v>
      </c>
      <c r="C35" s="13">
        <v>0.41666666666666669</v>
      </c>
      <c r="D35" s="13">
        <v>0.75</v>
      </c>
      <c r="E35" s="14" t="str">
        <f t="shared" si="2"/>
        <v>8:00</v>
      </c>
      <c r="F35" s="10" t="s">
        <v>38</v>
      </c>
      <c r="G35" t="s">
        <v>32</v>
      </c>
    </row>
    <row r="36" spans="1:10" x14ac:dyDescent="0.3">
      <c r="A36" s="24">
        <v>46080</v>
      </c>
      <c r="B36" s="22" t="str">
        <f t="shared" si="0"/>
        <v>Friday</v>
      </c>
      <c r="C36" s="13">
        <v>0.41666666666666669</v>
      </c>
      <c r="D36" s="13">
        <v>0.75</v>
      </c>
      <c r="E36" s="14" t="str">
        <f t="shared" si="2"/>
        <v>8:00</v>
      </c>
      <c r="F36" s="10" t="s">
        <v>39</v>
      </c>
      <c r="G36" t="s">
        <v>32</v>
      </c>
      <c r="J36" t="s">
        <v>20</v>
      </c>
    </row>
    <row r="37" spans="1:10" x14ac:dyDescent="0.3">
      <c r="A37" s="21">
        <v>46081</v>
      </c>
      <c r="B37" s="25" t="str">
        <f t="shared" si="0"/>
        <v>Saturday</v>
      </c>
      <c r="C37" s="12"/>
      <c r="D37" s="12"/>
      <c r="E37" s="29" t="str">
        <f t="shared" si="2"/>
        <v>0:00</v>
      </c>
      <c r="F37" s="10"/>
      <c r="G37" t="s">
        <v>32</v>
      </c>
      <c r="J37" t="s">
        <v>20</v>
      </c>
    </row>
    <row r="38" spans="1:10" x14ac:dyDescent="0.3">
      <c r="A38" s="24"/>
      <c r="B38" s="22"/>
      <c r="C38" s="13"/>
      <c r="D38" s="13"/>
      <c r="E38" s="14" t="str">
        <f t="shared" si="2"/>
        <v>0:00</v>
      </c>
      <c r="F38" s="10"/>
    </row>
    <row r="39" spans="1:10" x14ac:dyDescent="0.3">
      <c r="A39" s="24"/>
      <c r="B39" s="22"/>
      <c r="C39" s="13"/>
      <c r="D39" s="13"/>
      <c r="E39" s="14" t="str">
        <f t="shared" si="2"/>
        <v>0:00</v>
      </c>
      <c r="F39" s="10"/>
      <c r="G39" s="13"/>
    </row>
    <row r="40" spans="1:10" x14ac:dyDescent="0.3">
      <c r="A40" s="21"/>
      <c r="B40" s="25"/>
      <c r="C40" s="13"/>
      <c r="D40" s="13"/>
      <c r="E40" s="14"/>
      <c r="F40" s="10"/>
    </row>
    <row r="41" spans="1:10" x14ac:dyDescent="0.3">
      <c r="A41" s="7"/>
      <c r="B41" s="11"/>
      <c r="E41" s="14"/>
      <c r="F41" s="10"/>
    </row>
    <row r="42" spans="1:10" ht="18" x14ac:dyDescent="0.35">
      <c r="A42" s="15"/>
      <c r="B42" s="16"/>
      <c r="C42" s="20" t="s">
        <v>17</v>
      </c>
      <c r="D42" s="30">
        <f>19*8</f>
        <v>152</v>
      </c>
      <c r="E42" s="9"/>
      <c r="F42" s="8"/>
    </row>
    <row r="43" spans="1:10" x14ac:dyDescent="0.3">
      <c r="A43" s="8" t="s">
        <v>9</v>
      </c>
      <c r="C43" s="8"/>
      <c r="D43" s="8" t="s">
        <v>10</v>
      </c>
      <c r="F43" s="8"/>
      <c r="H43" s="36" t="s">
        <v>20</v>
      </c>
    </row>
    <row r="44" spans="1:10" x14ac:dyDescent="0.3">
      <c r="A44" s="8" t="s">
        <v>15</v>
      </c>
      <c r="B44" s="18" t="s">
        <v>19</v>
      </c>
      <c r="C44" s="8"/>
      <c r="D44" s="8" t="s">
        <v>15</v>
      </c>
      <c r="E44" s="18" t="s">
        <v>21</v>
      </c>
      <c r="F44" s="8"/>
    </row>
    <row r="45" spans="1:10" x14ac:dyDescent="0.3">
      <c r="A45" s="8"/>
      <c r="B45" s="8"/>
      <c r="C45" s="8"/>
      <c r="D45" s="8"/>
      <c r="E45" s="8"/>
      <c r="F45" s="8"/>
    </row>
    <row r="46" spans="1:10" ht="21" x14ac:dyDescent="0.4">
      <c r="F46" s="27" t="s">
        <v>35</v>
      </c>
    </row>
    <row r="47" spans="1:10" x14ac:dyDescent="0.3">
      <c r="F47" t="s">
        <v>20</v>
      </c>
    </row>
    <row r="48" spans="1:10" x14ac:dyDescent="0.3">
      <c r="F48" s="17"/>
    </row>
  </sheetData>
  <mergeCells count="7">
    <mergeCell ref="A2:F2"/>
    <mergeCell ref="C3:F3"/>
    <mergeCell ref="C4:F4"/>
    <mergeCell ref="C8:F8"/>
    <mergeCell ref="C7:F7"/>
    <mergeCell ref="C6:F6"/>
    <mergeCell ref="C5:F5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5F01-3910-4E0E-844F-2394E004399B}">
  <dimension ref="A3:C5"/>
  <sheetViews>
    <sheetView workbookViewId="0">
      <selection activeCell="A3" sqref="A3:C5"/>
    </sheetView>
  </sheetViews>
  <sheetFormatPr defaultRowHeight="14.4" x14ac:dyDescent="0.3"/>
  <cols>
    <col min="3" max="3" width="38" customWidth="1"/>
  </cols>
  <sheetData>
    <row r="3" spans="1:3" ht="21.6" x14ac:dyDescent="0.3">
      <c r="A3" s="23">
        <v>45987</v>
      </c>
      <c r="B3" s="10" t="str">
        <f t="shared" ref="B3:B5" si="0">TEXT(A3,"DDDD")</f>
        <v>Wednesday</v>
      </c>
      <c r="C3" s="19" t="s">
        <v>23</v>
      </c>
    </row>
    <row r="4" spans="1:3" ht="21.6" x14ac:dyDescent="0.3">
      <c r="A4" s="23">
        <v>45988</v>
      </c>
      <c r="B4" s="10" t="str">
        <f t="shared" si="0"/>
        <v>Thursday</v>
      </c>
      <c r="C4" s="19" t="s">
        <v>24</v>
      </c>
    </row>
    <row r="5" spans="1:3" ht="21.6" x14ac:dyDescent="0.3">
      <c r="A5" s="23">
        <v>45989</v>
      </c>
      <c r="B5" s="10" t="str">
        <f t="shared" si="0"/>
        <v>Friday</v>
      </c>
      <c r="C5" s="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Base</vt:lpstr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2026-02-27T05:50:25Z</dcterms:modified>
</cp:coreProperties>
</file>