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imeSheets_Yash\"/>
    </mc:Choice>
  </mc:AlternateContent>
  <xr:revisionPtr revIDLastSave="0" documentId="13_ncr:1_{8AA32037-E630-4F95-9707-8395495E74E9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Time Base" sheetId="2" r:id="rId1"/>
  </sheets>
  <calcPr calcId="191029"/>
</workbook>
</file>

<file path=xl/calcChain.xml><?xml version="1.0" encoding="utf-8"?>
<calcChain xmlns="http://schemas.openxmlformats.org/spreadsheetml/2006/main">
  <c r="E42" i="2" l="1"/>
  <c r="F32" i="2"/>
  <c r="F33" i="2" l="1"/>
  <c r="F31" i="2"/>
  <c r="F30" i="2"/>
  <c r="F23" i="2" l="1"/>
  <c r="F19" i="2" l="1"/>
  <c r="F10" i="2" l="1"/>
  <c r="F38" i="2" l="1"/>
  <c r="F39" i="2"/>
  <c r="C11" i="2" l="1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F16" i="2" l="1"/>
  <c r="C10" i="2" l="1"/>
  <c r="F11" i="2" l="1"/>
  <c r="F12" i="2"/>
  <c r="F13" i="2"/>
  <c r="F17" i="2"/>
  <c r="F20" i="2"/>
  <c r="F24" i="2"/>
  <c r="F25" i="2"/>
  <c r="F26" i="2"/>
  <c r="F27" i="2"/>
  <c r="F37" i="2"/>
</calcChain>
</file>

<file path=xl/sharedStrings.xml><?xml version="1.0" encoding="utf-8"?>
<sst xmlns="http://schemas.openxmlformats.org/spreadsheetml/2006/main" count="51" uniqueCount="31">
  <si>
    <t>Time Sheet</t>
  </si>
  <si>
    <t>Contractor Name:</t>
  </si>
  <si>
    <t>Contractor ID</t>
  </si>
  <si>
    <t xml:space="preserve">Designation </t>
  </si>
  <si>
    <t>Contact No</t>
  </si>
  <si>
    <t>Current Project</t>
  </si>
  <si>
    <t>Current Location</t>
  </si>
  <si>
    <t>Date</t>
  </si>
  <si>
    <t>Day</t>
  </si>
  <si>
    <t>Contractor</t>
  </si>
  <si>
    <t>Approved By -</t>
  </si>
  <si>
    <t xml:space="preserve">In Time </t>
  </si>
  <si>
    <t>Out Time</t>
  </si>
  <si>
    <t>Net Working Hrs</t>
  </si>
  <si>
    <t>Remark</t>
  </si>
  <si>
    <t>Name &amp; Sign</t>
  </si>
  <si>
    <t>Indore</t>
  </si>
  <si>
    <t>TOTAL MAN HOURS</t>
  </si>
  <si>
    <t>Technical Trainer</t>
  </si>
  <si>
    <t>Sarita Lad</t>
  </si>
  <si>
    <t xml:space="preserve"> </t>
  </si>
  <si>
    <t>Rahul Porwal</t>
  </si>
  <si>
    <t>11:00 to 11:30 Standup call Pool Associates, 11:30 to 12:30 Advance SQL Training</t>
  </si>
  <si>
    <t>11:00 to 11:30 Standup call Pool Associates, 11:30 to 12:30 AI Extension training</t>
  </si>
  <si>
    <t xml:space="preserve">11:00 to 11:30 Standup call Pool Associates, 11:30 to 12:30 Advance SQL Training,4pm to 6pm  Interview 5 </t>
  </si>
  <si>
    <t>leave</t>
  </si>
  <si>
    <t xml:space="preserve">11:00 to 11:30 Standup call Pool Associates, </t>
  </si>
  <si>
    <t>11:00 to 11:30 Standup call Pool Associates, 11:30:pm to 1:00 pm .net batch3  April25</t>
  </si>
  <si>
    <t>11:00 to 11:30 Standup call Pool Associates, 11:30:pm to 1:00 pm .net batch3  April26</t>
  </si>
  <si>
    <t>carry forward from March Leave</t>
  </si>
  <si>
    <t>Paid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</si>
</sst>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h]:mm"/>
    <numFmt numFmtId="165" formatCode="[$-14009]hh:mm;@"/>
  </numFmts>
  <fonts count="9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15" fontId="5" fillId="0" borderId="1" xfId="0" applyNumberFormat="1" applyFont="1" applyBorder="1"/>
    <xf numFmtId="0" fontId="2" fillId="0" borderId="5" xfId="0" applyFont="1" applyBorder="1"/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/>
    <xf numFmtId="15" fontId="2" fillId="0" borderId="5" xfId="0" applyNumberFormat="1" applyFont="1" applyBorder="1" applyAlignment="1">
      <alignment horizontal="center"/>
    </xf>
    <xf numFmtId="164" fontId="0" fillId="0" borderId="0" xfId="0" applyNumberFormat="1"/>
    <xf numFmtId="20" fontId="1" fillId="0" borderId="0" xfId="0" applyNumberFormat="1" applyFont="1" applyFill="1" applyBorder="1"/>
    <xf numFmtId="0" fontId="0" fillId="0" borderId="1" xfId="0" applyBorder="1"/>
    <xf numFmtId="165" fontId="0" fillId="0" borderId="1" xfId="0" applyNumberFormat="1" applyFont="1" applyBorder="1"/>
    <xf numFmtId="0" fontId="6" fillId="0" borderId="6" xfId="0" applyFont="1" applyFill="1" applyBorder="1"/>
    <xf numFmtId="15" fontId="3" fillId="0" borderId="1" xfId="0" applyNumberFormat="1" applyFont="1" applyBorder="1"/>
    <xf numFmtId="0" fontId="7" fillId="0" borderId="6" xfId="0" applyFont="1" applyFill="1" applyBorder="1"/>
    <xf numFmtId="18" fontId="7" fillId="0" borderId="1" xfId="0" applyNumberFormat="1" applyFont="1" applyFill="1" applyBorder="1"/>
    <xf numFmtId="0" fontId="6" fillId="0" borderId="1" xfId="0" applyFont="1" applyBorder="1"/>
    <xf numFmtId="18" fontId="6" fillId="0" borderId="1" xfId="0" applyNumberFormat="1" applyFont="1" applyFill="1" applyBorder="1"/>
    <xf numFmtId="20" fontId="6" fillId="0" borderId="1" xfId="0" applyNumberFormat="1" applyFont="1" applyFill="1" applyBorder="1"/>
    <xf numFmtId="0" fontId="6" fillId="0" borderId="6" xfId="0" applyFont="1" applyFill="1" applyBorder="1" applyAlignment="1">
      <alignment wrapText="1"/>
    </xf>
    <xf numFmtId="0" fontId="8" fillId="0" borderId="1" xfId="0" applyFont="1" applyBorder="1" applyAlignment="1">
      <alignment horizontal="center" vertical="center"/>
    </xf>
    <xf numFmtId="15" fontId="2" fillId="0" borderId="7" xfId="0" applyNumberFormat="1" applyFont="1" applyBorder="1" applyAlignment="1">
      <alignment horizontal="center"/>
    </xf>
    <xf numFmtId="15" fontId="3" fillId="0" borderId="0" xfId="0" applyNumberFormat="1" applyFont="1" applyBorder="1"/>
    <xf numFmtId="20" fontId="6" fillId="0" borderId="1" xfId="0" applyNumberFormat="1" applyFont="1" applyBorder="1"/>
    <xf numFmtId="0" fontId="4" fillId="0" borderId="0" xfId="0" applyFont="1"/>
    <xf numFmtId="0" fontId="4" fillId="0" borderId="1" xfId="0" applyFont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48"/>
  <sheetViews>
    <sheetView tabSelected="1" topLeftCell="A22" workbookViewId="0">
      <selection activeCell="G34" sqref="G34"/>
    </sheetView>
  </sheetViews>
  <sheetFormatPr defaultRowHeight="14.4" x14ac:dyDescent="0.3"/>
  <cols>
    <col min="2" max="2" width="13.109375" bestFit="1" customWidth="1"/>
    <col min="3" max="3" width="13.109375" customWidth="1"/>
    <col min="4" max="4" width="12.6640625" bestFit="1" customWidth="1"/>
    <col min="5" max="5" width="14.33203125" bestFit="1" customWidth="1"/>
    <col min="6" max="6" width="15.44140625" bestFit="1" customWidth="1"/>
    <col min="7" max="7" width="65.88671875" customWidth="1"/>
    <col min="10" max="10" width="11" bestFit="1" customWidth="1"/>
  </cols>
  <sheetData>
    <row r="1" spans="2:9" ht="15" thickBot="1" x14ac:dyDescent="0.35"/>
    <row r="2" spans="2:9" x14ac:dyDescent="0.3">
      <c r="B2" s="27" t="s">
        <v>0</v>
      </c>
      <c r="C2" s="28"/>
      <c r="D2" s="28"/>
      <c r="E2" s="28"/>
      <c r="F2" s="28"/>
      <c r="G2" s="29"/>
    </row>
    <row r="3" spans="2:9" x14ac:dyDescent="0.3">
      <c r="B3" s="5" t="s">
        <v>1</v>
      </c>
      <c r="C3" s="1"/>
      <c r="D3" s="30" t="s">
        <v>19</v>
      </c>
      <c r="E3" s="30"/>
      <c r="F3" s="30"/>
      <c r="G3" s="31"/>
    </row>
    <row r="4" spans="2:9" x14ac:dyDescent="0.3">
      <c r="B4" s="5" t="s">
        <v>2</v>
      </c>
      <c r="C4" s="1"/>
      <c r="D4" s="30">
        <v>1601949</v>
      </c>
      <c r="E4" s="30"/>
      <c r="F4" s="30"/>
      <c r="G4" s="31"/>
    </row>
    <row r="5" spans="2:9" x14ac:dyDescent="0.3">
      <c r="B5" s="5" t="s">
        <v>3</v>
      </c>
      <c r="C5" s="1"/>
      <c r="D5" s="30" t="s">
        <v>18</v>
      </c>
      <c r="E5" s="30"/>
      <c r="F5" s="30"/>
      <c r="G5" s="31"/>
    </row>
    <row r="6" spans="2:9" x14ac:dyDescent="0.3">
      <c r="B6" s="5" t="s">
        <v>4</v>
      </c>
      <c r="C6" s="1"/>
      <c r="D6" s="30">
        <v>9823405709</v>
      </c>
      <c r="E6" s="30"/>
      <c r="F6" s="30"/>
      <c r="G6" s="31"/>
    </row>
    <row r="7" spans="2:9" x14ac:dyDescent="0.3">
      <c r="B7" s="5" t="s">
        <v>5</v>
      </c>
      <c r="C7" s="1"/>
      <c r="D7" s="30"/>
      <c r="E7" s="30"/>
      <c r="F7" s="30"/>
      <c r="G7" s="31"/>
    </row>
    <row r="8" spans="2:9" x14ac:dyDescent="0.3">
      <c r="B8" s="5" t="s">
        <v>6</v>
      </c>
      <c r="C8" s="1"/>
      <c r="D8" s="30" t="s">
        <v>16</v>
      </c>
      <c r="E8" s="30"/>
      <c r="F8" s="30"/>
      <c r="G8" s="31"/>
    </row>
    <row r="9" spans="2:9" x14ac:dyDescent="0.3">
      <c r="B9" s="6" t="s">
        <v>7</v>
      </c>
      <c r="C9" s="3" t="s">
        <v>8</v>
      </c>
      <c r="D9" s="2" t="s">
        <v>11</v>
      </c>
      <c r="E9" s="2" t="s">
        <v>12</v>
      </c>
      <c r="F9" s="2" t="s">
        <v>13</v>
      </c>
      <c r="G9" s="7" t="s">
        <v>14</v>
      </c>
    </row>
    <row r="10" spans="2:9" x14ac:dyDescent="0.3">
      <c r="B10" s="8">
        <v>45748</v>
      </c>
      <c r="C10" s="14" t="str">
        <f>TEXT(B10,"DDDD")</f>
        <v>Tuesday</v>
      </c>
      <c r="D10" s="18">
        <v>0.41666666666666669</v>
      </c>
      <c r="E10" s="18">
        <v>0.75</v>
      </c>
      <c r="F10" s="19" t="str">
        <f t="shared" ref="F10:F39" si="0">TEXT(E10-D10,"h:mm")</f>
        <v>8:00</v>
      </c>
      <c r="G10" s="13" t="s">
        <v>22</v>
      </c>
      <c r="I10" s="10"/>
    </row>
    <row r="11" spans="2:9" x14ac:dyDescent="0.3">
      <c r="B11" s="8">
        <v>45749</v>
      </c>
      <c r="C11" s="14" t="str">
        <f t="shared" ref="C11:C39" si="1">TEXT(B11,"DDDD")</f>
        <v>Wednesday</v>
      </c>
      <c r="D11" s="18">
        <v>0.41666666666666669</v>
      </c>
      <c r="E11" s="18">
        <v>0.77083333333333337</v>
      </c>
      <c r="F11" s="19" t="str">
        <f t="shared" si="0"/>
        <v>8:30</v>
      </c>
      <c r="G11" s="13" t="s">
        <v>23</v>
      </c>
      <c r="I11" s="10"/>
    </row>
    <row r="12" spans="2:9" x14ac:dyDescent="0.3">
      <c r="B12" s="8">
        <v>45750</v>
      </c>
      <c r="C12" s="14" t="str">
        <f t="shared" si="1"/>
        <v>Thursday</v>
      </c>
      <c r="D12" s="18">
        <v>0.41666666666666669</v>
      </c>
      <c r="E12" s="18">
        <v>0.77083333333333337</v>
      </c>
      <c r="F12" s="19" t="str">
        <f t="shared" si="0"/>
        <v>8:30</v>
      </c>
      <c r="G12" s="13" t="s">
        <v>22</v>
      </c>
    </row>
    <row r="13" spans="2:9" x14ac:dyDescent="0.3">
      <c r="B13" s="8">
        <v>45751</v>
      </c>
      <c r="C13" s="14" t="str">
        <f t="shared" si="1"/>
        <v>Friday</v>
      </c>
      <c r="D13" s="18">
        <v>0.41666666666666669</v>
      </c>
      <c r="E13" s="18">
        <v>0.75</v>
      </c>
      <c r="F13" s="13" t="str">
        <f t="shared" si="0"/>
        <v>8:00</v>
      </c>
      <c r="G13" s="13" t="s">
        <v>22</v>
      </c>
    </row>
    <row r="14" spans="2:9" x14ac:dyDescent="0.3">
      <c r="B14" s="8">
        <v>45752</v>
      </c>
      <c r="C14" s="4" t="str">
        <f t="shared" si="1"/>
        <v>Saturday</v>
      </c>
      <c r="D14" s="18"/>
      <c r="E14" s="18"/>
      <c r="F14" s="13"/>
      <c r="G14" s="13"/>
      <c r="I14" s="9"/>
    </row>
    <row r="15" spans="2:9" x14ac:dyDescent="0.3">
      <c r="B15" s="8">
        <v>45753</v>
      </c>
      <c r="C15" s="4" t="str">
        <f t="shared" si="1"/>
        <v>Sunday</v>
      </c>
      <c r="D15" s="18"/>
      <c r="E15" s="18"/>
      <c r="F15" s="19"/>
      <c r="G15" s="20"/>
      <c r="I15" s="9"/>
    </row>
    <row r="16" spans="2:9" x14ac:dyDescent="0.3">
      <c r="B16" s="8">
        <v>45754</v>
      </c>
      <c r="C16" s="14" t="str">
        <f t="shared" si="1"/>
        <v>Monday</v>
      </c>
      <c r="D16" s="18">
        <v>0.41666666666666669</v>
      </c>
      <c r="E16" s="18">
        <v>0.75</v>
      </c>
      <c r="F16" s="19" t="str">
        <f>TEXT(E16-D16,"h:mm")</f>
        <v>8:00</v>
      </c>
      <c r="G16" s="13" t="s">
        <v>24</v>
      </c>
    </row>
    <row r="17" spans="2:7" x14ac:dyDescent="0.3">
      <c r="B17" s="8">
        <v>45755</v>
      </c>
      <c r="C17" s="14" t="str">
        <f t="shared" si="1"/>
        <v>Tuesday</v>
      </c>
      <c r="D17" s="18">
        <v>0.41666666666666669</v>
      </c>
      <c r="E17" s="18">
        <v>0.75</v>
      </c>
      <c r="F17" s="19" t="str">
        <f t="shared" si="0"/>
        <v>8:00</v>
      </c>
      <c r="G17" s="13" t="s">
        <v>26</v>
      </c>
    </row>
    <row r="18" spans="2:7" x14ac:dyDescent="0.3">
      <c r="B18" s="8">
        <v>45756</v>
      </c>
      <c r="C18" s="4" t="str">
        <f t="shared" si="1"/>
        <v>Wednesday</v>
      </c>
      <c r="D18" s="16" t="s">
        <v>25</v>
      </c>
      <c r="E18" s="16" t="s">
        <v>25</v>
      </c>
      <c r="F18" s="19"/>
      <c r="G18" s="15" t="s">
        <v>29</v>
      </c>
    </row>
    <row r="19" spans="2:7" x14ac:dyDescent="0.3">
      <c r="B19" s="8">
        <v>45757</v>
      </c>
      <c r="C19" s="14" t="str">
        <f t="shared" si="1"/>
        <v>Thursday</v>
      </c>
      <c r="D19" s="18">
        <v>0.41666666666666669</v>
      </c>
      <c r="E19" s="18">
        <v>0.75</v>
      </c>
      <c r="F19" s="19" t="str">
        <f>TEXT(E19-D19,"h:mm")</f>
        <v>8:00</v>
      </c>
      <c r="G19" s="13" t="s">
        <v>27</v>
      </c>
    </row>
    <row r="20" spans="2:7" x14ac:dyDescent="0.3">
      <c r="B20" s="8">
        <v>45758</v>
      </c>
      <c r="C20" s="14" t="str">
        <f t="shared" si="1"/>
        <v>Friday</v>
      </c>
      <c r="D20" s="18">
        <v>0.41666666666666669</v>
      </c>
      <c r="E20" s="18">
        <v>0.75</v>
      </c>
      <c r="F20" s="19" t="str">
        <f t="shared" si="0"/>
        <v>8:00</v>
      </c>
      <c r="G20" s="13" t="s">
        <v>28</v>
      </c>
    </row>
    <row r="21" spans="2:7" x14ac:dyDescent="0.3">
      <c r="B21" s="8">
        <v>45759</v>
      </c>
      <c r="C21" s="4" t="str">
        <f t="shared" si="1"/>
        <v>Saturday</v>
      </c>
      <c r="D21" s="18"/>
      <c r="E21" s="18"/>
      <c r="F21" s="19"/>
      <c r="G21" s="13"/>
    </row>
    <row r="22" spans="2:7" x14ac:dyDescent="0.3">
      <c r="B22" s="8">
        <v>45760</v>
      </c>
      <c r="C22" s="4" t="str">
        <f t="shared" si="1"/>
        <v>Sunday</v>
      </c>
      <c r="D22" s="18"/>
      <c r="E22" s="18"/>
      <c r="F22" s="19"/>
      <c r="G22" s="13"/>
    </row>
    <row r="23" spans="2:7" x14ac:dyDescent="0.3">
      <c r="B23" s="8">
        <v>45761</v>
      </c>
      <c r="C23" s="14" t="str">
        <f t="shared" si="1"/>
        <v>Monday</v>
      </c>
      <c r="D23" s="18">
        <v>0.41666666666666669</v>
      </c>
      <c r="E23" s="18">
        <v>0.75</v>
      </c>
      <c r="F23" s="19" t="str">
        <f t="shared" si="0"/>
        <v>8:00</v>
      </c>
      <c r="G23" s="13" t="s">
        <v>28</v>
      </c>
    </row>
    <row r="24" spans="2:7" x14ac:dyDescent="0.3">
      <c r="B24" s="8">
        <v>45762</v>
      </c>
      <c r="C24" s="14" t="str">
        <f t="shared" si="1"/>
        <v>Tuesday</v>
      </c>
      <c r="D24" s="18">
        <v>0.41666666666666669</v>
      </c>
      <c r="E24" s="18">
        <v>0.75</v>
      </c>
      <c r="F24" s="19" t="str">
        <f t="shared" si="0"/>
        <v>8:00</v>
      </c>
      <c r="G24" s="13" t="s">
        <v>28</v>
      </c>
    </row>
    <row r="25" spans="2:7" x14ac:dyDescent="0.3">
      <c r="B25" s="8">
        <v>45763</v>
      </c>
      <c r="C25" s="14" t="str">
        <f t="shared" si="1"/>
        <v>Wednesday</v>
      </c>
      <c r="D25" s="18">
        <v>0.41666666666666669</v>
      </c>
      <c r="E25" s="18">
        <v>0.75</v>
      </c>
      <c r="F25" s="19" t="str">
        <f t="shared" si="0"/>
        <v>8:00</v>
      </c>
      <c r="G25" s="13" t="s">
        <v>28</v>
      </c>
    </row>
    <row r="26" spans="2:7" x14ac:dyDescent="0.3">
      <c r="B26" s="8">
        <v>45764</v>
      </c>
      <c r="C26" s="14" t="str">
        <f t="shared" si="1"/>
        <v>Thursday</v>
      </c>
      <c r="D26" s="18">
        <v>0.41666666666666669</v>
      </c>
      <c r="E26" s="18">
        <v>0.75</v>
      </c>
      <c r="F26" s="19" t="str">
        <f t="shared" si="0"/>
        <v>8:00</v>
      </c>
      <c r="G26" s="13" t="s">
        <v>28</v>
      </c>
    </row>
    <row r="27" spans="2:7" x14ac:dyDescent="0.3">
      <c r="B27" s="8">
        <v>45765</v>
      </c>
      <c r="C27" s="14" t="str">
        <f t="shared" si="1"/>
        <v>Friday</v>
      </c>
      <c r="D27" s="18">
        <v>0.41666666666666669</v>
      </c>
      <c r="E27" s="18">
        <v>0.77083333333333337</v>
      </c>
      <c r="F27" s="19" t="str">
        <f t="shared" si="0"/>
        <v>8:30</v>
      </c>
      <c r="G27" s="13" t="s">
        <v>28</v>
      </c>
    </row>
    <row r="28" spans="2:7" x14ac:dyDescent="0.3">
      <c r="B28" s="8">
        <v>45766</v>
      </c>
      <c r="C28" s="4" t="str">
        <f t="shared" si="1"/>
        <v>Saturday</v>
      </c>
      <c r="D28" s="16"/>
      <c r="E28" s="16"/>
      <c r="F28" s="19"/>
      <c r="G28" s="15"/>
    </row>
    <row r="29" spans="2:7" x14ac:dyDescent="0.3">
      <c r="B29" s="8">
        <v>45767</v>
      </c>
      <c r="C29" s="4" t="str">
        <f t="shared" si="1"/>
        <v>Sunday</v>
      </c>
      <c r="D29" s="18"/>
      <c r="E29" s="18"/>
      <c r="F29" s="19"/>
      <c r="G29" s="13"/>
    </row>
    <row r="30" spans="2:7" x14ac:dyDescent="0.3">
      <c r="B30" s="8">
        <v>45768</v>
      </c>
      <c r="C30" s="14" t="str">
        <f t="shared" si="1"/>
        <v>Monday</v>
      </c>
      <c r="D30" s="18">
        <v>0.41666666666666669</v>
      </c>
      <c r="E30" s="18">
        <v>0.77083333333333337</v>
      </c>
      <c r="F30" s="19" t="str">
        <f t="shared" ref="F30:F31" si="2">TEXT(E30-D30,"h:mm")</f>
        <v>8:30</v>
      </c>
      <c r="G30" s="13" t="s">
        <v>28</v>
      </c>
    </row>
    <row r="31" spans="2:7" x14ac:dyDescent="0.3">
      <c r="B31" s="8">
        <v>45769</v>
      </c>
      <c r="C31" s="14" t="str">
        <f t="shared" si="1"/>
        <v>Tuesday</v>
      </c>
      <c r="D31" s="18">
        <v>0.41666666666666669</v>
      </c>
      <c r="E31" s="18">
        <v>0.77083333333333337</v>
      </c>
      <c r="F31" s="19" t="str">
        <f t="shared" si="2"/>
        <v>8:30</v>
      </c>
      <c r="G31" s="13" t="s">
        <v>28</v>
      </c>
    </row>
    <row r="32" spans="2:7" x14ac:dyDescent="0.3">
      <c r="B32" s="8">
        <v>45770</v>
      </c>
      <c r="C32" s="14" t="str">
        <f t="shared" si="1"/>
        <v>Wednesday</v>
      </c>
      <c r="D32" s="18">
        <v>0.41666666666666669</v>
      </c>
      <c r="E32" s="18">
        <v>0.77083333333333337</v>
      </c>
      <c r="F32" s="19" t="str">
        <f>TEXT(E32-D32,"h:mm")</f>
        <v>8:30</v>
      </c>
      <c r="G32" s="13" t="s">
        <v>28</v>
      </c>
    </row>
    <row r="33" spans="2:9" x14ac:dyDescent="0.3">
      <c r="B33" s="8">
        <v>45771</v>
      </c>
      <c r="C33" s="14" t="str">
        <f t="shared" si="1"/>
        <v>Thursday</v>
      </c>
      <c r="D33" s="18">
        <v>0.41666666666666669</v>
      </c>
      <c r="E33" s="18">
        <v>0.77083333333333337</v>
      </c>
      <c r="F33" s="19" t="str">
        <f t="shared" ref="F33" si="3">TEXT(E33-D33,"h:mm")</f>
        <v>8:30</v>
      </c>
      <c r="G33" s="13" t="s">
        <v>28</v>
      </c>
    </row>
    <row r="34" spans="2:9" x14ac:dyDescent="0.3">
      <c r="B34" s="8">
        <v>45772</v>
      </c>
      <c r="C34" s="4" t="str">
        <f t="shared" si="1"/>
        <v>Friday</v>
      </c>
      <c r="D34" s="16" t="s">
        <v>25</v>
      </c>
      <c r="E34" s="16" t="s">
        <v>25</v>
      </c>
      <c r="F34" s="19"/>
      <c r="G34" s="15" t="s">
        <v>30</v>
      </c>
    </row>
    <row r="35" spans="2:9" x14ac:dyDescent="0.3">
      <c r="B35" s="8">
        <v>45773</v>
      </c>
      <c r="C35" s="4" t="str">
        <f t="shared" si="1"/>
        <v>Saturday</v>
      </c>
      <c r="D35" s="18"/>
      <c r="E35" s="18"/>
      <c r="F35" s="19"/>
      <c r="G35" s="20"/>
    </row>
    <row r="36" spans="2:9" x14ac:dyDescent="0.3">
      <c r="B36" s="8">
        <v>45774</v>
      </c>
      <c r="C36" s="4" t="str">
        <f t="shared" si="1"/>
        <v>Sunday</v>
      </c>
      <c r="D36" s="18"/>
      <c r="E36" s="18"/>
      <c r="F36" s="19"/>
      <c r="G36" s="20"/>
    </row>
    <row r="37" spans="2:9" x14ac:dyDescent="0.3">
      <c r="B37" s="8">
        <v>45775</v>
      </c>
      <c r="C37" s="14" t="str">
        <f t="shared" si="1"/>
        <v>Monday</v>
      </c>
      <c r="D37" s="18">
        <v>0.41666666666666669</v>
      </c>
      <c r="E37" s="18">
        <v>0.77083333333333337</v>
      </c>
      <c r="F37" s="19" t="str">
        <f t="shared" si="0"/>
        <v>8:30</v>
      </c>
      <c r="G37" s="13" t="s">
        <v>28</v>
      </c>
    </row>
    <row r="38" spans="2:9" x14ac:dyDescent="0.3">
      <c r="B38" s="8">
        <v>45776</v>
      </c>
      <c r="C38" s="14" t="str">
        <f t="shared" si="1"/>
        <v>Tuesday</v>
      </c>
      <c r="D38" s="18">
        <v>0.41666666666666669</v>
      </c>
      <c r="E38" s="18">
        <v>0.77083333333333337</v>
      </c>
      <c r="F38" s="19" t="str">
        <f t="shared" si="0"/>
        <v>8:30</v>
      </c>
      <c r="G38" s="13" t="s">
        <v>28</v>
      </c>
    </row>
    <row r="39" spans="2:9" x14ac:dyDescent="0.3">
      <c r="B39" s="8">
        <v>45777</v>
      </c>
      <c r="C39" s="14" t="str">
        <f t="shared" si="1"/>
        <v>Wednesday</v>
      </c>
      <c r="D39" s="18">
        <v>0.41666666666666669</v>
      </c>
      <c r="E39" s="18">
        <v>0.77083333333333337</v>
      </c>
      <c r="F39" s="19" t="str">
        <f t="shared" si="0"/>
        <v>8:30</v>
      </c>
      <c r="G39" s="13" t="s">
        <v>28</v>
      </c>
    </row>
    <row r="40" spans="2:9" x14ac:dyDescent="0.3">
      <c r="B40" s="8"/>
      <c r="C40" s="14"/>
      <c r="D40" s="24"/>
      <c r="E40" s="18"/>
      <c r="F40" s="19"/>
      <c r="G40" s="13"/>
    </row>
    <row r="41" spans="2:9" x14ac:dyDescent="0.3">
      <c r="B41" s="8"/>
      <c r="C41" s="14"/>
      <c r="D41" s="24"/>
      <c r="E41" s="18"/>
      <c r="F41" s="19"/>
      <c r="G41" s="13"/>
    </row>
    <row r="42" spans="2:9" ht="15.6" x14ac:dyDescent="0.3">
      <c r="B42" s="22"/>
      <c r="C42" s="23"/>
      <c r="D42" s="17" t="s">
        <v>17</v>
      </c>
      <c r="E42" s="21">
        <f>20*8+5</f>
        <v>165</v>
      </c>
      <c r="F42" s="12"/>
      <c r="G42" s="11"/>
    </row>
    <row r="43" spans="2:9" x14ac:dyDescent="0.3">
      <c r="B43" s="11" t="s">
        <v>9</v>
      </c>
      <c r="D43" s="11"/>
      <c r="E43" s="11" t="s">
        <v>10</v>
      </c>
      <c r="G43" s="11"/>
      <c r="I43" t="s">
        <v>20</v>
      </c>
    </row>
    <row r="44" spans="2:9" x14ac:dyDescent="0.3">
      <c r="B44" s="11" t="s">
        <v>15</v>
      </c>
      <c r="C44" s="26" t="s">
        <v>19</v>
      </c>
      <c r="D44" s="11"/>
      <c r="E44" s="11" t="s">
        <v>15</v>
      </c>
      <c r="F44" s="26" t="s">
        <v>21</v>
      </c>
      <c r="G44" s="11"/>
    </row>
    <row r="45" spans="2:9" x14ac:dyDescent="0.3">
      <c r="B45" s="11"/>
      <c r="C45" s="11"/>
      <c r="D45" s="11"/>
      <c r="E45" s="11"/>
      <c r="F45" s="11"/>
      <c r="G45" s="11"/>
    </row>
    <row r="47" spans="2:9" x14ac:dyDescent="0.3">
      <c r="G47" t="s">
        <v>20</v>
      </c>
    </row>
    <row r="48" spans="2:9" x14ac:dyDescent="0.3">
      <c r="G48" s="25"/>
    </row>
  </sheetData>
  <mergeCells count="7">
    <mergeCell ref="B2:G2"/>
    <mergeCell ref="D3:G3"/>
    <mergeCell ref="D4:G4"/>
    <mergeCell ref="D8:G8"/>
    <mergeCell ref="D7:G7"/>
    <mergeCell ref="D6:G6"/>
    <mergeCell ref="D5:G5"/>
  </mergeCells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Base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Gangadhar Baswan</dc:creator>
  <cp:lastModifiedBy>Sarita  Lad</cp:lastModifiedBy>
  <cp:lastPrinted>2017-02-01T10:37:40Z</cp:lastPrinted>
  <dcterms:created xsi:type="dcterms:W3CDTF">2016-12-08T07:45:45Z</dcterms:created>
  <dcterms:modified xsi:type="dcterms:W3CDTF">2025-05-22T05:52:02Z</dcterms:modified>
</cp:coreProperties>
</file>